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說明" sheetId="1" state="visible" r:id="rId3"/>
    <sheet name="排班表" sheetId="2" state="visible" r:id="rId4"/>
    <sheet name="設定" sheetId="3" state="visible" r:id="rId5"/>
    <sheet name="人員" sheetId="4" state="visible" r:id="rId6"/>
    <sheet name="更多工具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<sst xmlns="http://schemas.openxmlformats.org/spreadsheetml/2006/main" count="80" uniqueCount="77">
  <si>
    <r>
      <rPr>
        <b val="true"/>
        <sz val="15"/>
        <color rgb="FFFFFFFF"/>
        <rFont val="Arial"/>
        <family val="0"/>
        <charset val="1"/>
      </rPr>
      <t xml:space="preserve">Olimedi </t>
    </r>
    <r>
      <rPr>
        <b val="true"/>
        <sz val="15"/>
        <color rgb="FFFFFFFF"/>
        <rFont val="Noto Sans CJK SC"/>
        <family val="2"/>
      </rPr>
      <t xml:space="preserve">奧里醫療資訊｜醫療院所早午晚診排班表</t>
    </r>
  </si>
  <si>
    <t xml:space="preserve">怎麼使用</t>
  </si>
  <si>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到「設定」分頁填年份、月份，確認早、午、晚診的時數，以及每一診最少需要幾個人。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</si>
  <si>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到「人員」分頁填員工姓名、職務、可擔任的崗位與每月工時上限（最多 </t>
    </r>
    <r>
      <rPr>
        <sz val="11"/>
        <rFont val="Arial"/>
        <family val="0"/>
        <charset val="1"/>
      </rPr>
      <t xml:space="preserve">15 </t>
    </r>
    <r>
      <rPr>
        <sz val="11"/>
        <rFont val="Noto Sans CJK SC"/>
        <family val="2"/>
      </rPr>
      <t xml:space="preserve">人）。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</si>
  <si>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到「排班表」分頁，每格從下拉選單選代號：早／午／晚／早午／午晚／早晚／早午晚／休／特休／請假。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</si>
  <si>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表格下方會自動算出每天每一診的人數，少於最少人數會標紅色；右側自動算出每人上班天數、總時數、診數與晚診次數，超過工時上限會提醒。</t>
    </r>
  </si>
  <si>
    <r>
      <rPr>
        <sz val="11"/>
        <rFont val="Arial"/>
        <family val="0"/>
        <charset val="1"/>
      </rPr>
      <t xml:space="preserve">5. </t>
    </r>
    <r>
      <rPr>
        <sz val="11"/>
        <rFont val="Noto Sans CJK SC"/>
        <family val="2"/>
      </rPr>
      <t xml:space="preserve">日期與星期會依年月自動更新，週末欄位以灰色標示。每個月複製一份分頁即可重複使用。</t>
    </r>
  </si>
  <si>
    <t xml:space="preserve">顏色說明</t>
  </si>
  <si>
    <t xml:space="preserve">請填寫</t>
  </si>
  <si>
    <t xml:space="preserve">黃色格子＝請自行填寫或修改；其他格子有公式，會自動計算，請勿刪除。</t>
  </si>
  <si>
    <t xml:space="preserve">自動計算</t>
  </si>
  <si>
    <t xml:space="preserve">白色格子＝公式自動帶出。標示「（範例）」的資料可直接覆蓋或刪除。</t>
  </si>
  <si>
    <t xml:space="preserve">本範本僅協助排班與工時統計，不構成法律意見。正常工時、延長工時、例假與休息日等規定，請以勞動基準法及勞動部最新公告為準。</t>
  </si>
  <si>
    <t xml:space="preserve">用 Excel 管得很累？Oli 系統可以自動完成這些計算 → 加 LINE 問 Oliver（@336appfx），預約免費線上展示</t>
  </si>
  <si>
    <t xml:space="preserve">更多診所管理實用文章：olimedi.com/blog</t>
  </si>
  <si>
    <t xml:space="preserve">代號：早／午／晚／早午／午晚／早晚／早午晚／休／特休／請假（從下拉選單選）</t>
  </si>
  <si>
    <t xml:space="preserve">日期</t>
  </si>
  <si>
    <t xml:space="preserve">上班天數</t>
  </si>
  <si>
    <t xml:space="preserve">總時數</t>
  </si>
  <si>
    <t xml:space="preserve">診數</t>
  </si>
  <si>
    <t xml:space="preserve">晚診次數</t>
  </si>
  <si>
    <t xml:space="preserve">工時上限</t>
  </si>
  <si>
    <t xml:space="preserve">提醒</t>
  </si>
  <si>
    <t xml:space="preserve">星期</t>
  </si>
  <si>
    <t xml:space="preserve">早午</t>
  </si>
  <si>
    <t xml:space="preserve">午晚</t>
  </si>
  <si>
    <t xml:space="preserve">休</t>
  </si>
  <si>
    <t xml:space="preserve">早晚</t>
  </si>
  <si>
    <t xml:space="preserve">早診人數</t>
  </si>
  <si>
    <t xml:space="preserve">午診人數</t>
  </si>
  <si>
    <t xml:space="preserve">晚診人數</t>
  </si>
  <si>
    <t xml:space="preserve">紅色＝少於「設定」中的每診最少人數。</t>
  </si>
  <si>
    <t xml:space="preserve">排班設定</t>
  </si>
  <si>
    <t xml:space="preserve">黃色格子請依診所實際情況填寫。</t>
  </si>
  <si>
    <t xml:space="preserve">年份</t>
  </si>
  <si>
    <t xml:space="preserve">月份</t>
  </si>
  <si>
    <t xml:space="preserve">診次</t>
  </si>
  <si>
    <t xml:space="preserve">代號</t>
  </si>
  <si>
    <t xml:space="preserve">時段</t>
  </si>
  <si>
    <t xml:space="preserve">時數（小時）</t>
  </si>
  <si>
    <t xml:space="preserve">每診最少人數</t>
  </si>
  <si>
    <t xml:space="preserve">早診</t>
  </si>
  <si>
    <t xml:space="preserve">早</t>
  </si>
  <si>
    <t xml:space="preserve">08:00–12:00</t>
  </si>
  <si>
    <t xml:space="preserve">午診</t>
  </si>
  <si>
    <t xml:space="preserve">午</t>
  </si>
  <si>
    <t xml:space="preserve">14:00–18:00</t>
  </si>
  <si>
    <t xml:space="preserve">晚診</t>
  </si>
  <si>
    <t xml:space="preserve">晚</t>
  </si>
  <si>
    <t xml:space="preserve">18:30–21:30</t>
  </si>
  <si>
    <t xml:space="preserve">時數用於統計工時；請依實際看診時段調整（含交班、準備時間）。</t>
  </si>
  <si>
    <t xml:space="preserve">人員資料</t>
  </si>
  <si>
    <r>
      <rPr>
        <sz val="10"/>
        <color rgb="FF4A5F57"/>
        <rFont val="Noto Sans CJK SC"/>
        <family val="2"/>
      </rPr>
      <t xml:space="preserve">最多 </t>
    </r>
    <r>
      <rPr>
        <sz val="10"/>
        <color rgb="FF4A5F57"/>
        <rFont val="Arial"/>
        <family val="0"/>
        <charset val="1"/>
      </rPr>
      <t xml:space="preserve">15 </t>
    </r>
    <r>
      <rPr>
        <sz val="10"/>
        <color rgb="FF4A5F57"/>
        <rFont val="Noto Sans CJK SC"/>
        <family val="2"/>
      </rPr>
      <t xml:space="preserve">人。姓名會自動帶到排班表。</t>
    </r>
  </si>
  <si>
    <t xml:space="preserve">姓名</t>
  </si>
  <si>
    <t xml:space="preserve">職務</t>
  </si>
  <si>
    <t xml:space="preserve">可擔任崗位</t>
  </si>
  <si>
    <t xml:space="preserve">每月工時上限（小時）</t>
  </si>
  <si>
    <t xml:space="preserve">王小明（範例）</t>
  </si>
  <si>
    <t xml:space="preserve">跟診助理</t>
  </si>
  <si>
    <t xml:space="preserve">跟診、消毒</t>
  </si>
  <si>
    <r>
      <rPr>
        <b val="true"/>
        <sz val="15"/>
        <color rgb="FFFFFFFF"/>
        <rFont val="Noto Sans CJK SC"/>
        <family val="2"/>
      </rPr>
      <t xml:space="preserve">把時間還給自己，診所的瑣事交給 </t>
    </r>
    <r>
      <rPr>
        <b val="true"/>
        <sz val="15"/>
        <color rgb="FFFFFFFF"/>
        <rFont val="Arial"/>
        <family val="0"/>
        <charset val="1"/>
      </rPr>
      <t xml:space="preserve">Oli</t>
    </r>
    <r>
      <rPr>
        <b val="true"/>
        <sz val="15"/>
        <color rgb="FFFFFFFF"/>
        <rFont val="Noto Sans CJK SC"/>
        <family val="2"/>
      </rPr>
      <t xml:space="preserve">。</t>
    </r>
  </si>
  <si>
    <t xml:space="preserve">項目</t>
  </si>
  <si>
    <t xml:space="preserve">說明</t>
  </si>
  <si>
    <t xml:space="preserve">連結</t>
  </si>
  <si>
    <r>
      <rPr>
        <b val="true"/>
        <sz val="10"/>
        <color rgb="FF17332B"/>
        <rFont val="Arial"/>
        <family val="0"/>
        <charset val="1"/>
      </rPr>
      <t xml:space="preserve">Oli </t>
    </r>
    <r>
      <rPr>
        <b val="true"/>
        <sz val="10"/>
        <color rgb="FF17332B"/>
        <rFont val="Noto Sans CJK SC"/>
        <family val="2"/>
      </rPr>
      <t xml:space="preserve">考勤管理系統</t>
    </r>
  </si>
  <si>
    <r>
      <rPr>
        <sz val="10"/>
        <color rgb="FF17332B"/>
        <rFont val="Noto Sans CJK SC"/>
        <family val="2"/>
      </rPr>
      <t xml:space="preserve">排班、手機 </t>
    </r>
    <r>
      <rPr>
        <sz val="10"/>
        <color rgb="FF17332B"/>
        <rFont val="Arial"/>
        <family val="0"/>
        <charset val="1"/>
      </rPr>
      <t xml:space="preserve">QR </t>
    </r>
    <r>
      <rPr>
        <sz val="10"/>
        <color rgb="FF17332B"/>
        <rFont val="Noto Sans CJK SC"/>
        <family val="2"/>
      </rPr>
      <t xml:space="preserve">打卡、請假加班、薪資試算、特休餘額自動計算</t>
    </r>
  </si>
  <si>
    <t xml:space="preserve">https://olimedi.com/attendance.html</t>
  </si>
  <si>
    <r>
      <rPr>
        <b val="true"/>
        <sz val="10"/>
        <color rgb="FF17332B"/>
        <rFont val="Arial"/>
        <family val="0"/>
        <charset val="1"/>
      </rPr>
      <t xml:space="preserve">Oli </t>
    </r>
    <r>
      <rPr>
        <b val="true"/>
        <sz val="10"/>
        <color rgb="FF17332B"/>
        <rFont val="Noto Sans CJK SC"/>
        <family val="2"/>
      </rPr>
      <t xml:space="preserve">庫存管理系統</t>
    </r>
  </si>
  <si>
    <t xml:space="preserve">掃碼入庫、快缺貨快過期提醒、採購建議、植入物批號追溯</t>
  </si>
  <si>
    <t xml:space="preserve">https://olimedi.com/materials.html</t>
  </si>
  <si>
    <t xml:space="preserve">診所管理專欄</t>
  </si>
  <si>
    <t xml:space="preserve">排班、加班費、特休、盤點等實用整理</t>
  </si>
  <si>
    <t xml:space="preserve">https://olimedi.com/blog/</t>
  </si>
  <si>
    <r>
      <rPr>
        <b val="true"/>
        <sz val="10"/>
        <color rgb="FF17332B"/>
        <rFont val="Noto Sans CJK SC"/>
        <family val="2"/>
      </rPr>
      <t xml:space="preserve">問 </t>
    </r>
    <r>
      <rPr>
        <b val="true"/>
        <sz val="10"/>
        <color rgb="FF17332B"/>
        <rFont val="Arial"/>
        <family val="0"/>
        <charset val="1"/>
      </rPr>
      <t xml:space="preserve">Oliver</t>
    </r>
    <r>
      <rPr>
        <b val="true"/>
        <sz val="10"/>
        <color rgb="FF17332B"/>
        <rFont val="Noto Sans CJK SC"/>
        <family val="2"/>
      </rPr>
      <t xml:space="preserve">（</t>
    </r>
    <r>
      <rPr>
        <b val="true"/>
        <sz val="10"/>
        <color rgb="FF17332B"/>
        <rFont val="Arial"/>
        <family val="0"/>
        <charset val="1"/>
      </rPr>
      <t xml:space="preserve">LINE</t>
    </r>
    <r>
      <rPr>
        <b val="true"/>
        <sz val="10"/>
        <color rgb="FF17332B"/>
        <rFont val="Noto Sans CJK SC"/>
        <family val="2"/>
      </rPr>
      <t xml:space="preserve">）</t>
    </r>
  </si>
  <si>
    <r>
      <rPr>
        <sz val="10"/>
        <color rgb="FF17332B"/>
        <rFont val="Noto Sans CJK SC"/>
        <family val="2"/>
      </rPr>
      <t xml:space="preserve">加入 </t>
    </r>
    <r>
      <rPr>
        <sz val="10"/>
        <color rgb="FF17332B"/>
        <rFont val="Arial"/>
        <family val="0"/>
        <charset val="1"/>
      </rPr>
      <t xml:space="preserve">@336appfx</t>
    </r>
    <r>
      <rPr>
        <sz val="10"/>
        <color rgb="FF17332B"/>
        <rFont val="Noto Sans CJK SC"/>
        <family val="2"/>
      </rPr>
      <t xml:space="preserve">，預約約 </t>
    </r>
    <r>
      <rPr>
        <sz val="10"/>
        <color rgb="FF17332B"/>
        <rFont val="Arial"/>
        <family val="0"/>
        <charset val="1"/>
      </rPr>
      <t xml:space="preserve">20 </t>
    </r>
    <r>
      <rPr>
        <sz val="10"/>
        <color rgb="FF17332B"/>
        <rFont val="Noto Sans CJK SC"/>
        <family val="2"/>
      </rPr>
      <t xml:space="preserve">分鐘免費線上展示</t>
    </r>
  </si>
  <si>
    <t xml:space="preserve">https://line.me/R/ti/p/@336appfx</t>
  </si>
  <si>
    <r>
      <rPr>
        <sz val="9"/>
        <color rgb="FF4A5F57"/>
        <rFont val="Arial"/>
        <family val="0"/>
        <charset val="1"/>
      </rPr>
      <t xml:space="preserve">© 2026 Olimedi </t>
    </r>
    <r>
      <rPr>
        <sz val="9"/>
        <color rgb="FF4A5F57"/>
        <rFont val="Noto Sans CJK SC"/>
        <family val="2"/>
      </rPr>
      <t xml:space="preserve">奧里醫療資訊。本範本可免費使用於醫療院所內部管理，請勿轉售。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</si>
</sst>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5"/>
      <color rgb="FFFFFFFF"/>
      <name val="Noto Sans CJK SC"/>
      <family val="2"/>
    </font>
    <font>
      <b val="true"/>
      <sz val="13"/>
      <color rgb="FF2E7D5B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sz val="10"/>
      <name val="Noto Sans CJK SC"/>
      <family val="2"/>
    </font>
    <font>
      <i val="true"/>
      <sz val="9"/>
      <color rgb="FF4A5F57"/>
      <name val="Noto Sans CJK SC"/>
      <family val="2"/>
    </font>
    <font>
      <b val="true"/>
      <u val="single"/>
      <sz val="11"/>
      <color rgb="FF2E7D5B"/>
      <name val="Noto Sans CJK SC"/>
      <family val="2"/>
    </font>
    <font>
      <u val="single"/>
      <sz val="10"/>
      <color rgb="FF2E7D5B"/>
      <name val="Noto Sans CJK SC"/>
      <family val="2"/>
    </font>
    <font>
      <sz val="9"/>
      <color rgb="FF4A5F57"/>
      <name val="Noto Sans CJK SC"/>
      <family val="2"/>
    </font>
    <font>
      <b val="true"/>
      <sz val="10"/>
      <color rgb="FF17332B"/>
      <name val="Noto Sans CJK SC"/>
      <family val="2"/>
    </font>
    <font>
      <b val="true"/>
      <sz val="10"/>
      <color rgb="FF17332B"/>
      <name val="Arial"/>
      <family val="0"/>
      <charset val="1"/>
    </font>
    <font>
      <sz val="10"/>
      <color rgb="FF17332B"/>
      <name val="Noto Sans CJK SC"/>
      <family val="2"/>
    </font>
    <font>
      <sz val="10"/>
      <color rgb="FF17332B"/>
      <name val="Arial"/>
      <family val="0"/>
      <charset val="1"/>
    </font>
    <font>
      <sz val="10"/>
      <color rgb="FF4A5F57"/>
      <name val="Noto Sans CJK SC"/>
      <family val="2"/>
    </font>
    <font>
      <b val="true"/>
      <sz val="10"/>
      <color rgb="FFFFFFFF"/>
      <name val="Noto Sans CJK SC"/>
      <family val="2"/>
    </font>
    <font>
      <sz val="10"/>
      <color rgb="FF4A5F57"/>
      <name val="Arial"/>
      <family val="0"/>
      <charset val="1"/>
    </font>
    <font>
      <u val="single"/>
      <sz val="10"/>
      <color rgb="FF2E7D5B"/>
      <name val="Arial"/>
      <family val="0"/>
      <charset val="1"/>
    </font>
    <font>
      <sz val="9"/>
      <color rgb="FF4A5F5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D5B"/>
        <bgColor rgb="FF4A5F57"/>
      </patternFill>
    </fill>
    <fill>
      <patternFill patternType="solid">
        <fgColor rgb="FFFFF4C2"/>
        <bgColor rgb="FFFCEBD2"/>
      </patternFill>
    </fill>
    <fill>
      <patternFill patternType="solid">
        <fgColor rgb="FFE1EFE6"/>
        <bgColor rgb="FFE5E5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D9"/>
      </left>
      <right style="thin">
        <color rgb="FFD5DED9"/>
      </right>
      <top style="thin">
        <color rgb="FFD5DED9"/>
      </top>
      <bottom style="thin">
        <color rgb="FFD5D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A33B1F"/>
      </font>
      <fill>
        <patternFill>
          <bgColor rgb="FFF6D3C8"/>
        </patternFill>
      </fill>
    </dxf>
    <dxf>
      <font>
        <name val="Arial"/>
        <charset val="1"/>
        <family val="0"/>
        <color rgb="FF777777"/>
      </font>
      <fill>
        <patternFill>
          <bgColor rgb="FFE5E5E5"/>
        </patternFill>
      </fill>
    </dxf>
    <dxf>
      <fill>
        <patternFill>
          <bgColor rgb="FFFCEBD2"/>
        </patternFill>
      </fill>
    </dxf>
    <dxf>
      <font>
        <name val="Arial"/>
        <charset val="1"/>
        <family val="0"/>
        <b val="1"/>
        <color rgb="FFA33B1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4C2"/>
      <rgbColor rgb="FFE1EFE6"/>
      <rgbColor rgb="FF660066"/>
      <rgbColor rgb="FFFF8080"/>
      <rgbColor rgb="FF0066CC"/>
      <rgbColor rgb="FFD5D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CEBD2"/>
      <rgbColor rgb="FF99CCFF"/>
      <rgbColor rgb="FFFF99CC"/>
      <rgbColor rgb="FFCC99FF"/>
      <rgbColor rgb="FFF6D3C8"/>
      <rgbColor rgb="FF3366FF"/>
      <rgbColor rgb="FF33CCCC"/>
      <rgbColor rgb="FF99CC00"/>
      <rgbColor rgb="FFFFCC00"/>
      <rgbColor rgb="FFFF9900"/>
      <rgbColor rgb="FFFF6600"/>
      <rgbColor rgb="FF4A5F57"/>
      <rgbColor rgb="FF969696"/>
      <rgbColor rgb="FF003366"/>
      <rgbColor rgb="FF2E7D5B"/>
      <rgbColor rgb="FF003300"/>
      <rgbColor rgb="FF333300"/>
      <rgbColor rgb="FFA33B1F"/>
      <rgbColor rgb="FF993366"/>
      <rgbColor rgb="FF333399"/>
      <rgbColor rgb="FF1733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ine.me/R/ti/p/@336appfx" TargetMode="External"/><Relationship Id="rId2" Type="http://schemas.openxmlformats.org/officeDocument/2006/relationships/hyperlink" Target="https://olimedi.com/blog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olimedi.com/attendance.html" TargetMode="External"/><Relationship Id="rId2" Type="http://schemas.openxmlformats.org/officeDocument/2006/relationships/hyperlink" Target="https://olimedi.com/materials.html" TargetMode="External"/><Relationship Id="rId3" Type="http://schemas.openxmlformats.org/officeDocument/2006/relationships/hyperlink" Target="https://olimedi.com/blog/" TargetMode="External"/><Relationship Id="rId4" Type="http://schemas.openxmlformats.org/officeDocument/2006/relationships/hyperlink" Target="https://line.me/R/ti/p/@336appf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2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6.15" hidden="false" customHeight="false" outlineLevel="0" collapsed="false">
      <c r="A3" s="2" t="s">
        <v>1</v>
      </c>
    </row>
    <row r="4" customFormat="false" ht="33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33.75" hidden="false" customHeight="true" outlineLevel="0" collapsed="false">
      <c r="A5" s="3" t="s">
        <v>3</v>
      </c>
      <c r="B5" s="3"/>
      <c r="C5" s="3"/>
      <c r="D5" s="3"/>
      <c r="E5" s="3"/>
      <c r="F5" s="3"/>
    </row>
    <row r="6" customFormat="false" ht="33.75" hidden="false" customHeight="true" outlineLevel="0" collapsed="false">
      <c r="A6" s="3" t="s">
        <v>4</v>
      </c>
      <c r="B6" s="3"/>
      <c r="C6" s="3"/>
      <c r="D6" s="3"/>
      <c r="E6" s="3"/>
      <c r="F6" s="3"/>
    </row>
    <row r="7" customFormat="false" ht="33.75" hidden="false" customHeight="true" outlineLevel="0" collapsed="false">
      <c r="A7" s="3" t="s">
        <v>5</v>
      </c>
      <c r="B7" s="3"/>
      <c r="C7" s="3"/>
      <c r="D7" s="3"/>
      <c r="E7" s="3"/>
      <c r="F7" s="3"/>
    </row>
    <row r="8" customFormat="false" ht="33.75" hidden="false" customHeight="true" outlineLevel="0" collapsed="false">
      <c r="A8" s="3" t="s">
        <v>6</v>
      </c>
      <c r="B8" s="3"/>
      <c r="C8" s="3"/>
      <c r="D8" s="3"/>
      <c r="E8" s="3"/>
      <c r="F8" s="3"/>
    </row>
    <row r="10" customFormat="false" ht="16.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4" t="s">
        <v>8</v>
      </c>
      <c r="B11" s="5" t="s">
        <v>9</v>
      </c>
      <c r="C11" s="5"/>
      <c r="D11" s="5"/>
      <c r="E11" s="5"/>
      <c r="F11" s="5"/>
    </row>
    <row r="12" customFormat="false" ht="15" hidden="false" customHeight="false" outlineLevel="0" collapsed="false">
      <c r="A12" s="6" t="s">
        <v>10</v>
      </c>
      <c r="B12" s="5" t="s">
        <v>11</v>
      </c>
      <c r="C12" s="5"/>
      <c r="D12" s="5"/>
      <c r="E12" s="5"/>
      <c r="F12" s="5"/>
    </row>
    <row r="14" customFormat="false" ht="45.75" hidden="false" customHeight="true" outlineLevel="0" collapsed="false">
      <c r="A14" s="7" t="s">
        <v>12</v>
      </c>
      <c r="B14" s="7"/>
      <c r="C14" s="7"/>
      <c r="D14" s="7"/>
      <c r="E14" s="7"/>
      <c r="F14" s="7"/>
    </row>
    <row r="16" customFormat="false" ht="17.15" hidden="false" customHeight="false" outlineLevel="0" collapsed="false">
      <c r="A16" s="8" t="s">
        <v>13</v>
      </c>
      <c r="B16" s="8"/>
      <c r="C16" s="8"/>
      <c r="D16" s="8"/>
      <c r="E16" s="8"/>
      <c r="F16" s="8"/>
    </row>
    <row r="17" customFormat="false" ht="15" hidden="false" customHeight="false" outlineLevel="0" collapsed="false">
      <c r="A17" s="9" t="s">
        <v>14</v>
      </c>
      <c r="B17" s="9"/>
      <c r="C17" s="9"/>
      <c r="D17" s="9"/>
      <c r="E17" s="9"/>
      <c r="F17" s="9"/>
    </row>
  </sheetData>
  <mergeCells count="11">
    <mergeCell ref="A1:F1"/>
    <mergeCell ref="A4:F4"/>
    <mergeCell ref="A5:F5"/>
    <mergeCell ref="A6:F6"/>
    <mergeCell ref="A7:F7"/>
    <mergeCell ref="A8:F8"/>
    <mergeCell ref="B11:F11"/>
    <mergeCell ref="B12:F12"/>
    <mergeCell ref="A14:F14"/>
    <mergeCell ref="A16:F16"/>
    <mergeCell ref="A17:F17"/>
  </mergeCells>
  <hyperlinks>
    <hyperlink ref="A16" r:id="rId1" display="用 Excel 管得很累？Oli 系統可以自動完成這些計算 → 加 LINE 問 Oliver（@336appfx），預約免費線上展示"/>
    <hyperlink ref="A17" r:id="rId2" display="更多診所管理實用文章：olimedi.com/blo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2" min="2" style="0" width="5.2"/>
    <col collapsed="false" customWidth="true" hidden="false" outlineLevel="0" max="37" min="33" style="0" width="9"/>
    <col collapsed="false" customWidth="true" hidden="false" outlineLevel="0" max="38" min="38" style="0" width="11"/>
  </cols>
  <sheetData>
    <row r="1" customFormat="false" ht="31.5" hidden="false" customHeight="true" outlineLevel="0" collapsed="false">
      <c r="A1" s="10" t="str">
        <f aca="false">設定!B4&amp;" 年 "&amp;設定!B5&amp;" 月 排班表"</f>
        <v>2026 年 11 月 排班表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customFormat="false" ht="15" hidden="false" customHeight="false" outlineLevel="0" collapsed="false">
      <c r="A2" s="11" t="s">
        <v>15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4" customFormat="false" ht="15" hidden="false" customHeight="true" outlineLevel="0" collapsed="false">
      <c r="A4" s="12" t="s">
        <v>16</v>
      </c>
      <c r="B4" s="13" t="n">
        <f aca="false">IF(1&lt;=DAY(DATE(設定!$B$4,設定!$B$5+1,0)),1,"")</f>
        <v>1</v>
      </c>
      <c r="C4" s="13" t="n">
        <f aca="false">IF(2&lt;=DAY(DATE(設定!$B$4,設定!$B$5+1,0)),2,"")</f>
        <v>2</v>
      </c>
      <c r="D4" s="13" t="n">
        <f aca="false">IF(3&lt;=DAY(DATE(設定!$B$4,設定!$B$5+1,0)),3,"")</f>
        <v>3</v>
      </c>
      <c r="E4" s="13" t="n">
        <f aca="false">IF(4&lt;=DAY(DATE(設定!$B$4,設定!$B$5+1,0)),4,"")</f>
        <v>4</v>
      </c>
      <c r="F4" s="13" t="n">
        <f aca="false">IF(5&lt;=DAY(DATE(設定!$B$4,設定!$B$5+1,0)),5,"")</f>
        <v>5</v>
      </c>
      <c r="G4" s="13" t="n">
        <f aca="false">IF(6&lt;=DAY(DATE(設定!$B$4,設定!$B$5+1,0)),6,"")</f>
        <v>6</v>
      </c>
      <c r="H4" s="13" t="n">
        <f aca="false">IF(7&lt;=DAY(DATE(設定!$B$4,設定!$B$5+1,0)),7,"")</f>
        <v>7</v>
      </c>
      <c r="I4" s="13" t="n">
        <f aca="false">IF(8&lt;=DAY(DATE(設定!$B$4,設定!$B$5+1,0)),8,"")</f>
        <v>8</v>
      </c>
      <c r="J4" s="13" t="n">
        <f aca="false">IF(9&lt;=DAY(DATE(設定!$B$4,設定!$B$5+1,0)),9,"")</f>
        <v>9</v>
      </c>
      <c r="K4" s="13" t="n">
        <f aca="false">IF(10&lt;=DAY(DATE(設定!$B$4,設定!$B$5+1,0)),10,"")</f>
        <v>10</v>
      </c>
      <c r="L4" s="13" t="n">
        <f aca="false">IF(11&lt;=DAY(DATE(設定!$B$4,設定!$B$5+1,0)),11,"")</f>
        <v>11</v>
      </c>
      <c r="M4" s="13" t="n">
        <f aca="false">IF(12&lt;=DAY(DATE(設定!$B$4,設定!$B$5+1,0)),12,"")</f>
        <v>12</v>
      </c>
      <c r="N4" s="13" t="n">
        <f aca="false">IF(13&lt;=DAY(DATE(設定!$B$4,設定!$B$5+1,0)),13,"")</f>
        <v>13</v>
      </c>
      <c r="O4" s="13" t="n">
        <f aca="false">IF(14&lt;=DAY(DATE(設定!$B$4,設定!$B$5+1,0)),14,"")</f>
        <v>14</v>
      </c>
      <c r="P4" s="13" t="n">
        <f aca="false">IF(15&lt;=DAY(DATE(設定!$B$4,設定!$B$5+1,0)),15,"")</f>
        <v>15</v>
      </c>
      <c r="Q4" s="13" t="n">
        <f aca="false">IF(16&lt;=DAY(DATE(設定!$B$4,設定!$B$5+1,0)),16,"")</f>
        <v>16</v>
      </c>
      <c r="R4" s="13" t="n">
        <f aca="false">IF(17&lt;=DAY(DATE(設定!$B$4,設定!$B$5+1,0)),17,"")</f>
        <v>17</v>
      </c>
      <c r="S4" s="13" t="n">
        <f aca="false">IF(18&lt;=DAY(DATE(設定!$B$4,設定!$B$5+1,0)),18,"")</f>
        <v>18</v>
      </c>
      <c r="T4" s="13" t="n">
        <f aca="false">IF(19&lt;=DAY(DATE(設定!$B$4,設定!$B$5+1,0)),19,"")</f>
        <v>19</v>
      </c>
      <c r="U4" s="13" t="n">
        <f aca="false">IF(20&lt;=DAY(DATE(設定!$B$4,設定!$B$5+1,0)),20,"")</f>
        <v>20</v>
      </c>
      <c r="V4" s="13" t="n">
        <f aca="false">IF(21&lt;=DAY(DATE(設定!$B$4,設定!$B$5+1,0)),21,"")</f>
        <v>21</v>
      </c>
      <c r="W4" s="13" t="n">
        <f aca="false">IF(22&lt;=DAY(DATE(設定!$B$4,設定!$B$5+1,0)),22,"")</f>
        <v>22</v>
      </c>
      <c r="X4" s="13" t="n">
        <f aca="false">IF(23&lt;=DAY(DATE(設定!$B$4,設定!$B$5+1,0)),23,"")</f>
        <v>23</v>
      </c>
      <c r="Y4" s="13" t="n">
        <f aca="false">IF(24&lt;=DAY(DATE(設定!$B$4,設定!$B$5+1,0)),24,"")</f>
        <v>24</v>
      </c>
      <c r="Z4" s="13" t="n">
        <f aca="false">IF(25&lt;=DAY(DATE(設定!$B$4,設定!$B$5+1,0)),25,"")</f>
        <v>25</v>
      </c>
      <c r="AA4" s="13" t="n">
        <f aca="false">IF(26&lt;=DAY(DATE(設定!$B$4,設定!$B$5+1,0)),26,"")</f>
        <v>26</v>
      </c>
      <c r="AB4" s="13" t="n">
        <f aca="false">IF(27&lt;=DAY(DATE(設定!$B$4,設定!$B$5+1,0)),27,"")</f>
        <v>27</v>
      </c>
      <c r="AC4" s="13" t="n">
        <f aca="false">IF(28&lt;=DAY(DATE(設定!$B$4,設定!$B$5+1,0)),28,"")</f>
        <v>28</v>
      </c>
      <c r="AD4" s="13" t="n">
        <f aca="false">IF(29&lt;=DAY(DATE(設定!$B$4,設定!$B$5+1,0)),29,"")</f>
        <v>29</v>
      </c>
      <c r="AE4" s="13" t="n">
        <f aca="false">IF(30&lt;=DAY(DATE(設定!$B$4,設定!$B$5+1,0)),30,"")</f>
        <v>30</v>
      </c>
      <c r="AF4" s="13" t="str">
        <f aca="false">IF(31&lt;=DAY(DATE(設定!$B$4,設定!$B$5+1,0)),31,"")</f>
        <v/>
      </c>
      <c r="AG4" s="14" t="s">
        <v>17</v>
      </c>
      <c r="AH4" s="14" t="s">
        <v>18</v>
      </c>
      <c r="AI4" s="14" t="s">
        <v>19</v>
      </c>
      <c r="AJ4" s="14" t="s">
        <v>20</v>
      </c>
      <c r="AK4" s="14" t="s">
        <v>21</v>
      </c>
      <c r="AL4" s="14" t="s">
        <v>22</v>
      </c>
    </row>
    <row r="5" customFormat="false" ht="15" hidden="false" customHeight="false" outlineLevel="0" collapsed="false">
      <c r="A5" s="12" t="s">
        <v>23</v>
      </c>
      <c r="B5" s="15" t="str">
        <f aca="false">IF(B4="","",CHOOSE(WEEKDAY(DATE(設定!$B$4,設定!$B$5,B4)),"日","一","二","三","四","五","六"))</f>
        <v>日</v>
      </c>
      <c r="C5" s="15" t="str">
        <f aca="false">IF(C4="","",CHOOSE(WEEKDAY(DATE(設定!$B$4,設定!$B$5,C4)),"日","一","二","三","四","五","六"))</f>
        <v>一</v>
      </c>
      <c r="D5" s="15" t="str">
        <f aca="false">IF(D4="","",CHOOSE(WEEKDAY(DATE(設定!$B$4,設定!$B$5,D4)),"日","一","二","三","四","五","六"))</f>
        <v>二</v>
      </c>
      <c r="E5" s="15" t="str">
        <f aca="false">IF(E4="","",CHOOSE(WEEKDAY(DATE(設定!$B$4,設定!$B$5,E4)),"日","一","二","三","四","五","六"))</f>
        <v>三</v>
      </c>
      <c r="F5" s="15" t="str">
        <f aca="false">IF(F4="","",CHOOSE(WEEKDAY(DATE(設定!$B$4,設定!$B$5,F4)),"日","一","二","三","四","五","六"))</f>
        <v>四</v>
      </c>
      <c r="G5" s="15" t="str">
        <f aca="false">IF(G4="","",CHOOSE(WEEKDAY(DATE(設定!$B$4,設定!$B$5,G4)),"日","一","二","三","四","五","六"))</f>
        <v>五</v>
      </c>
      <c r="H5" s="15" t="str">
        <f aca="false">IF(H4="","",CHOOSE(WEEKDAY(DATE(設定!$B$4,設定!$B$5,H4)),"日","一","二","三","四","五","六"))</f>
        <v>六</v>
      </c>
      <c r="I5" s="15" t="str">
        <f aca="false">IF(I4="","",CHOOSE(WEEKDAY(DATE(設定!$B$4,設定!$B$5,I4)),"日","一","二","三","四","五","六"))</f>
        <v>日</v>
      </c>
      <c r="J5" s="15" t="str">
        <f aca="false">IF(J4="","",CHOOSE(WEEKDAY(DATE(設定!$B$4,設定!$B$5,J4)),"日","一","二","三","四","五","六"))</f>
        <v>一</v>
      </c>
      <c r="K5" s="15" t="str">
        <f aca="false">IF(K4="","",CHOOSE(WEEKDAY(DATE(設定!$B$4,設定!$B$5,K4)),"日","一","二","三","四","五","六"))</f>
        <v>二</v>
      </c>
      <c r="L5" s="15" t="str">
        <f aca="false">IF(L4="","",CHOOSE(WEEKDAY(DATE(設定!$B$4,設定!$B$5,L4)),"日","一","二","三","四","五","六"))</f>
        <v>三</v>
      </c>
      <c r="M5" s="15" t="str">
        <f aca="false">IF(M4="","",CHOOSE(WEEKDAY(DATE(設定!$B$4,設定!$B$5,M4)),"日","一","二","三","四","五","六"))</f>
        <v>四</v>
      </c>
      <c r="N5" s="15" t="str">
        <f aca="false">IF(N4="","",CHOOSE(WEEKDAY(DATE(設定!$B$4,設定!$B$5,N4)),"日","一","二","三","四","五","六"))</f>
        <v>五</v>
      </c>
      <c r="O5" s="15" t="str">
        <f aca="false">IF(O4="","",CHOOSE(WEEKDAY(DATE(設定!$B$4,設定!$B$5,O4)),"日","一","二","三","四","五","六"))</f>
        <v>六</v>
      </c>
      <c r="P5" s="15" t="str">
        <f aca="false">IF(P4="","",CHOOSE(WEEKDAY(DATE(設定!$B$4,設定!$B$5,P4)),"日","一","二","三","四","五","六"))</f>
        <v>日</v>
      </c>
      <c r="Q5" s="15" t="str">
        <f aca="false">IF(Q4="","",CHOOSE(WEEKDAY(DATE(設定!$B$4,設定!$B$5,Q4)),"日","一","二","三","四","五","六"))</f>
        <v>一</v>
      </c>
      <c r="R5" s="15" t="str">
        <f aca="false">IF(R4="","",CHOOSE(WEEKDAY(DATE(設定!$B$4,設定!$B$5,R4)),"日","一","二","三","四","五","六"))</f>
        <v>二</v>
      </c>
      <c r="S5" s="15" t="str">
        <f aca="false">IF(S4="","",CHOOSE(WEEKDAY(DATE(設定!$B$4,設定!$B$5,S4)),"日","一","二","三","四","五","六"))</f>
        <v>三</v>
      </c>
      <c r="T5" s="15" t="str">
        <f aca="false">IF(T4="","",CHOOSE(WEEKDAY(DATE(設定!$B$4,設定!$B$5,T4)),"日","一","二","三","四","五","六"))</f>
        <v>四</v>
      </c>
      <c r="U5" s="15" t="str">
        <f aca="false">IF(U4="","",CHOOSE(WEEKDAY(DATE(設定!$B$4,設定!$B$5,U4)),"日","一","二","三","四","五","六"))</f>
        <v>五</v>
      </c>
      <c r="V5" s="15" t="str">
        <f aca="false">IF(V4="","",CHOOSE(WEEKDAY(DATE(設定!$B$4,設定!$B$5,V4)),"日","一","二","三","四","五","六"))</f>
        <v>六</v>
      </c>
      <c r="W5" s="15" t="str">
        <f aca="false">IF(W4="","",CHOOSE(WEEKDAY(DATE(設定!$B$4,設定!$B$5,W4)),"日","一","二","三","四","五","六"))</f>
        <v>日</v>
      </c>
      <c r="X5" s="15" t="str">
        <f aca="false">IF(X4="","",CHOOSE(WEEKDAY(DATE(設定!$B$4,設定!$B$5,X4)),"日","一","二","三","四","五","六"))</f>
        <v>一</v>
      </c>
      <c r="Y5" s="15" t="str">
        <f aca="false">IF(Y4="","",CHOOSE(WEEKDAY(DATE(設定!$B$4,設定!$B$5,Y4)),"日","一","二","三","四","五","六"))</f>
        <v>二</v>
      </c>
      <c r="Z5" s="15" t="str">
        <f aca="false">IF(Z4="","",CHOOSE(WEEKDAY(DATE(設定!$B$4,設定!$B$5,Z4)),"日","一","二","三","四","五","六"))</f>
        <v>三</v>
      </c>
      <c r="AA5" s="15" t="str">
        <f aca="false">IF(AA4="","",CHOOSE(WEEKDAY(DATE(設定!$B$4,設定!$B$5,AA4)),"日","一","二","三","四","五","六"))</f>
        <v>四</v>
      </c>
      <c r="AB5" s="15" t="str">
        <f aca="false">IF(AB4="","",CHOOSE(WEEKDAY(DATE(設定!$B$4,設定!$B$5,AB4)),"日","一","二","三","四","五","六"))</f>
        <v>五</v>
      </c>
      <c r="AC5" s="15" t="str">
        <f aca="false">IF(AC4="","",CHOOSE(WEEKDAY(DATE(設定!$B$4,設定!$B$5,AC4)),"日","一","二","三","四","五","六"))</f>
        <v>六</v>
      </c>
      <c r="AD5" s="15" t="str">
        <f aca="false">IF(AD4="","",CHOOSE(WEEKDAY(DATE(設定!$B$4,設定!$B$5,AD4)),"日","一","二","三","四","五","六"))</f>
        <v>日</v>
      </c>
      <c r="AE5" s="15" t="str">
        <f aca="false">IF(AE4="","",CHOOSE(WEEKDAY(DATE(設定!$B$4,設定!$B$5,AE4)),"日","一","二","三","四","五","六"))</f>
        <v>一</v>
      </c>
      <c r="AF5" s="15" t="str">
        <f aca="false">IF(AF4="","",CHOOSE(WEEKDAY(DATE(設定!$B$4,設定!$B$5,AF4)),"日","一","二","三","四","五","六"))</f>
        <v/>
      </c>
      <c r="AG5" s="14"/>
      <c r="AH5" s="14"/>
      <c r="AI5" s="14"/>
      <c r="AJ5" s="14"/>
      <c r="AK5" s="14"/>
      <c r="AL5" s="14"/>
    </row>
    <row r="6" customFormat="false" ht="15" hidden="false" customHeight="false" outlineLevel="0" collapsed="false">
      <c r="A6" s="16" t="str">
        <f aca="false">IF(人員!A5="","",人員!A5)</f>
        <v>王小明（範例）</v>
      </c>
      <c r="B6" s="17" t="s">
        <v>24</v>
      </c>
      <c r="C6" s="17" t="s">
        <v>24</v>
      </c>
      <c r="D6" s="17" t="s">
        <v>25</v>
      </c>
      <c r="E6" s="17" t="s">
        <v>26</v>
      </c>
      <c r="F6" s="17" t="s">
        <v>24</v>
      </c>
      <c r="G6" s="17" t="s">
        <v>27</v>
      </c>
      <c r="H6" s="17" t="s">
        <v>26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8" t="n">
        <f aca="false">IF($A6="","",SUMPRODUCT(--((ISNUMBER(SEARCH("早",B6:AF6)))+(ISNUMBER(SEARCH("午",B6:AF6)))+(ISNUMBER(SEARCH("晚",B6:AF6)))&gt;0)))</f>
        <v>5</v>
      </c>
      <c r="AH6" s="19" t="n">
        <f aca="false">IF($A6="","",SUMPRODUCT((ISNUMBER(SEARCH("早",B6:AF6)))*設定!$D$8+(ISNUMBER(SEARCH("午",B6:AF6)))*設定!$D$9+(ISNUMBER(SEARCH("晚",B6:AF6)))*設定!$D$10))</f>
        <v>38</v>
      </c>
      <c r="AI6" s="18" t="n">
        <f aca="false">IF($A6="","",SUMPRODUCT((ISNUMBER(SEARCH("早",B6:AF6)))+(ISNUMBER(SEARCH("午",B6:AF6)))+(ISNUMBER(SEARCH("晚",B6:AF6)))))</f>
        <v>10</v>
      </c>
      <c r="AJ6" s="18" t="n">
        <f aca="false">IF($A6="","",COUNTIF(B6:AF6,"*晚*"))</f>
        <v>2</v>
      </c>
      <c r="AK6" s="18" t="n">
        <f aca="false">IF(OR($A6="",人員!D5=""),"",人員!D5)</f>
        <v>176</v>
      </c>
      <c r="AL6" s="20" t="str">
        <f aca="false">IF(OR($A6="",AK6=""),"",IF(AH6&gt;AK6,"超過上限",""))</f>
        <v/>
      </c>
    </row>
    <row r="7" customFormat="false" ht="15" hidden="false" customHeight="false" outlineLevel="0" collapsed="false">
      <c r="A7" s="16" t="str">
        <f aca="false">IF(人員!A6="","",人員!A6)</f>
        <v/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 t="str">
        <f aca="false">IF($A7="","",SUMPRODUCT(--((ISNUMBER(SEARCH("早",B7:AF7)))+(ISNUMBER(SEARCH("午",B7:AF7)))+(ISNUMBER(SEARCH("晚",B7:AF7)))&gt;0)))</f>
        <v/>
      </c>
      <c r="AH7" s="19" t="str">
        <f aca="false">IF($A7="","",SUMPRODUCT((ISNUMBER(SEARCH("早",B7:AF7)))*設定!$D$8+(ISNUMBER(SEARCH("午",B7:AF7)))*設定!$D$9+(ISNUMBER(SEARCH("晚",B7:AF7)))*設定!$D$10))</f>
        <v/>
      </c>
      <c r="AI7" s="18" t="str">
        <f aca="false">IF($A7="","",SUMPRODUCT((ISNUMBER(SEARCH("早",B7:AF7)))+(ISNUMBER(SEARCH("午",B7:AF7)))+(ISNUMBER(SEARCH("晚",B7:AF7)))))</f>
        <v/>
      </c>
      <c r="AJ7" s="18" t="str">
        <f aca="false">IF($A7="","",COUNTIF(B7:AF7,"*晚*"))</f>
        <v/>
      </c>
      <c r="AK7" s="18" t="str">
        <f aca="false">IF(OR($A7="",人員!D6=""),"",人員!D6)</f>
        <v/>
      </c>
      <c r="AL7" s="20" t="str">
        <f aca="false">IF(OR($A7="",AK7=""),"",IF(AH7&gt;AK7,"超過上限",""))</f>
        <v/>
      </c>
    </row>
    <row r="8" customFormat="false" ht="15" hidden="false" customHeight="false" outlineLevel="0" collapsed="false">
      <c r="A8" s="16" t="str">
        <f aca="false">IF(人員!A7="","",人員!A7)</f>
        <v/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8" t="str">
        <f aca="false">IF($A8="","",SUMPRODUCT(--((ISNUMBER(SEARCH("早",B8:AF8)))+(ISNUMBER(SEARCH("午",B8:AF8)))+(ISNUMBER(SEARCH("晚",B8:AF8)))&gt;0)))</f>
        <v/>
      </c>
      <c r="AH8" s="19" t="str">
        <f aca="false">IF($A8="","",SUMPRODUCT((ISNUMBER(SEARCH("早",B8:AF8)))*設定!$D$8+(ISNUMBER(SEARCH("午",B8:AF8)))*設定!$D$9+(ISNUMBER(SEARCH("晚",B8:AF8)))*設定!$D$10))</f>
        <v/>
      </c>
      <c r="AI8" s="18" t="str">
        <f aca="false">IF($A8="","",SUMPRODUCT((ISNUMBER(SEARCH("早",B8:AF8)))+(ISNUMBER(SEARCH("午",B8:AF8)))+(ISNUMBER(SEARCH("晚",B8:AF8)))))</f>
        <v/>
      </c>
      <c r="AJ8" s="18" t="str">
        <f aca="false">IF($A8="","",COUNTIF(B8:AF8,"*晚*"))</f>
        <v/>
      </c>
      <c r="AK8" s="18" t="str">
        <f aca="false">IF(OR($A8="",人員!D7=""),"",人員!D7)</f>
        <v/>
      </c>
      <c r="AL8" s="20" t="str">
        <f aca="false">IF(OR($A8="",AK8=""),"",IF(AH8&gt;AK8,"超過上限",""))</f>
        <v/>
      </c>
    </row>
    <row r="9" customFormat="false" ht="15" hidden="false" customHeight="false" outlineLevel="0" collapsed="false">
      <c r="A9" s="16" t="str">
        <f aca="false">IF(人員!A8="","",人員!A8)</f>
        <v/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8" t="str">
        <f aca="false">IF($A9="","",SUMPRODUCT(--((ISNUMBER(SEARCH("早",B9:AF9)))+(ISNUMBER(SEARCH("午",B9:AF9)))+(ISNUMBER(SEARCH("晚",B9:AF9)))&gt;0)))</f>
        <v/>
      </c>
      <c r="AH9" s="19" t="str">
        <f aca="false">IF($A9="","",SUMPRODUCT((ISNUMBER(SEARCH("早",B9:AF9)))*設定!$D$8+(ISNUMBER(SEARCH("午",B9:AF9)))*設定!$D$9+(ISNUMBER(SEARCH("晚",B9:AF9)))*設定!$D$10))</f>
        <v/>
      </c>
      <c r="AI9" s="18" t="str">
        <f aca="false">IF($A9="","",SUMPRODUCT((ISNUMBER(SEARCH("早",B9:AF9)))+(ISNUMBER(SEARCH("午",B9:AF9)))+(ISNUMBER(SEARCH("晚",B9:AF9)))))</f>
        <v/>
      </c>
      <c r="AJ9" s="18" t="str">
        <f aca="false">IF($A9="","",COUNTIF(B9:AF9,"*晚*"))</f>
        <v/>
      </c>
      <c r="AK9" s="18" t="str">
        <f aca="false">IF(OR($A9="",人員!D8=""),"",人員!D8)</f>
        <v/>
      </c>
      <c r="AL9" s="20" t="str">
        <f aca="false">IF(OR($A9="",AK9=""),"",IF(AH9&gt;AK9,"超過上限",""))</f>
        <v/>
      </c>
    </row>
    <row r="10" customFormat="false" ht="15" hidden="false" customHeight="false" outlineLevel="0" collapsed="false">
      <c r="A10" s="16" t="str">
        <f aca="false">IF(人員!A9="","",人員!A9)</f>
        <v/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8" t="str">
        <f aca="false">IF($A10="","",SUMPRODUCT(--((ISNUMBER(SEARCH("早",B10:AF10)))+(ISNUMBER(SEARCH("午",B10:AF10)))+(ISNUMBER(SEARCH("晚",B10:AF10)))&gt;0)))</f>
        <v/>
      </c>
      <c r="AH10" s="19" t="str">
        <f aca="false">IF($A10="","",SUMPRODUCT((ISNUMBER(SEARCH("早",B10:AF10)))*設定!$D$8+(ISNUMBER(SEARCH("午",B10:AF10)))*設定!$D$9+(ISNUMBER(SEARCH("晚",B10:AF10)))*設定!$D$10))</f>
        <v/>
      </c>
      <c r="AI10" s="18" t="str">
        <f aca="false">IF($A10="","",SUMPRODUCT((ISNUMBER(SEARCH("早",B10:AF10)))+(ISNUMBER(SEARCH("午",B10:AF10)))+(ISNUMBER(SEARCH("晚",B10:AF10)))))</f>
        <v/>
      </c>
      <c r="AJ10" s="18" t="str">
        <f aca="false">IF($A10="","",COUNTIF(B10:AF10,"*晚*"))</f>
        <v/>
      </c>
      <c r="AK10" s="18" t="str">
        <f aca="false">IF(OR($A10="",人員!D9=""),"",人員!D9)</f>
        <v/>
      </c>
      <c r="AL10" s="20" t="str">
        <f aca="false">IF(OR($A10="",AK10=""),"",IF(AH10&gt;AK10,"超過上限",""))</f>
        <v/>
      </c>
    </row>
    <row r="11" customFormat="false" ht="15" hidden="false" customHeight="false" outlineLevel="0" collapsed="false">
      <c r="A11" s="16" t="str">
        <f aca="false">IF(人員!A10="","",人員!A10)</f>
        <v/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8" t="str">
        <f aca="false">IF($A11="","",SUMPRODUCT(--((ISNUMBER(SEARCH("早",B11:AF11)))+(ISNUMBER(SEARCH("午",B11:AF11)))+(ISNUMBER(SEARCH("晚",B11:AF11)))&gt;0)))</f>
        <v/>
      </c>
      <c r="AH11" s="19" t="str">
        <f aca="false">IF($A11="","",SUMPRODUCT((ISNUMBER(SEARCH("早",B11:AF11)))*設定!$D$8+(ISNUMBER(SEARCH("午",B11:AF11)))*設定!$D$9+(ISNUMBER(SEARCH("晚",B11:AF11)))*設定!$D$10))</f>
        <v/>
      </c>
      <c r="AI11" s="18" t="str">
        <f aca="false">IF($A11="","",SUMPRODUCT((ISNUMBER(SEARCH("早",B11:AF11)))+(ISNUMBER(SEARCH("午",B11:AF11)))+(ISNUMBER(SEARCH("晚",B11:AF11)))))</f>
        <v/>
      </c>
      <c r="AJ11" s="18" t="str">
        <f aca="false">IF($A11="","",COUNTIF(B11:AF11,"*晚*"))</f>
        <v/>
      </c>
      <c r="AK11" s="18" t="str">
        <f aca="false">IF(OR($A11="",人員!D10=""),"",人員!D10)</f>
        <v/>
      </c>
      <c r="AL11" s="20" t="str">
        <f aca="false">IF(OR($A11="",AK11=""),"",IF(AH11&gt;AK11,"超過上限",""))</f>
        <v/>
      </c>
    </row>
    <row r="12" customFormat="false" ht="15" hidden="false" customHeight="false" outlineLevel="0" collapsed="false">
      <c r="A12" s="16" t="str">
        <f aca="false">IF(人員!A11="","",人員!A11)</f>
        <v/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8" t="str">
        <f aca="false">IF($A12="","",SUMPRODUCT(--((ISNUMBER(SEARCH("早",B12:AF12)))+(ISNUMBER(SEARCH("午",B12:AF12)))+(ISNUMBER(SEARCH("晚",B12:AF12)))&gt;0)))</f>
        <v/>
      </c>
      <c r="AH12" s="19" t="str">
        <f aca="false">IF($A12="","",SUMPRODUCT((ISNUMBER(SEARCH("早",B12:AF12)))*設定!$D$8+(ISNUMBER(SEARCH("午",B12:AF12)))*設定!$D$9+(ISNUMBER(SEARCH("晚",B12:AF12)))*設定!$D$10))</f>
        <v/>
      </c>
      <c r="AI12" s="18" t="str">
        <f aca="false">IF($A12="","",SUMPRODUCT((ISNUMBER(SEARCH("早",B12:AF12)))+(ISNUMBER(SEARCH("午",B12:AF12)))+(ISNUMBER(SEARCH("晚",B12:AF12)))))</f>
        <v/>
      </c>
      <c r="AJ12" s="18" t="str">
        <f aca="false">IF($A12="","",COUNTIF(B12:AF12,"*晚*"))</f>
        <v/>
      </c>
      <c r="AK12" s="18" t="str">
        <f aca="false">IF(OR($A12="",人員!D11=""),"",人員!D11)</f>
        <v/>
      </c>
      <c r="AL12" s="20" t="str">
        <f aca="false">IF(OR($A12="",AK12=""),"",IF(AH12&gt;AK12,"超過上限",""))</f>
        <v/>
      </c>
    </row>
    <row r="13" customFormat="false" ht="15" hidden="false" customHeight="false" outlineLevel="0" collapsed="false">
      <c r="A13" s="16" t="str">
        <f aca="false">IF(人員!A12="","",人員!A12)</f>
        <v/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8" t="str">
        <f aca="false">IF($A13="","",SUMPRODUCT(--((ISNUMBER(SEARCH("早",B13:AF13)))+(ISNUMBER(SEARCH("午",B13:AF13)))+(ISNUMBER(SEARCH("晚",B13:AF13)))&gt;0)))</f>
        <v/>
      </c>
      <c r="AH13" s="19" t="str">
        <f aca="false">IF($A13="","",SUMPRODUCT((ISNUMBER(SEARCH("早",B13:AF13)))*設定!$D$8+(ISNUMBER(SEARCH("午",B13:AF13)))*設定!$D$9+(ISNUMBER(SEARCH("晚",B13:AF13)))*設定!$D$10))</f>
        <v/>
      </c>
      <c r="AI13" s="18" t="str">
        <f aca="false">IF($A13="","",SUMPRODUCT((ISNUMBER(SEARCH("早",B13:AF13)))+(ISNUMBER(SEARCH("午",B13:AF13)))+(ISNUMBER(SEARCH("晚",B13:AF13)))))</f>
        <v/>
      </c>
      <c r="AJ13" s="18" t="str">
        <f aca="false">IF($A13="","",COUNTIF(B13:AF13,"*晚*"))</f>
        <v/>
      </c>
      <c r="AK13" s="18" t="str">
        <f aca="false">IF(OR($A13="",人員!D12=""),"",人員!D12)</f>
        <v/>
      </c>
      <c r="AL13" s="20" t="str">
        <f aca="false">IF(OR($A13="",AK13=""),"",IF(AH13&gt;AK13,"超過上限",""))</f>
        <v/>
      </c>
    </row>
    <row r="14" customFormat="false" ht="15" hidden="false" customHeight="false" outlineLevel="0" collapsed="false">
      <c r="A14" s="16" t="str">
        <f aca="false">IF(人員!A13="","",人員!A13)</f>
        <v/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8" t="str">
        <f aca="false">IF($A14="","",SUMPRODUCT(--((ISNUMBER(SEARCH("早",B14:AF14)))+(ISNUMBER(SEARCH("午",B14:AF14)))+(ISNUMBER(SEARCH("晚",B14:AF14)))&gt;0)))</f>
        <v/>
      </c>
      <c r="AH14" s="19" t="str">
        <f aca="false">IF($A14="","",SUMPRODUCT((ISNUMBER(SEARCH("早",B14:AF14)))*設定!$D$8+(ISNUMBER(SEARCH("午",B14:AF14)))*設定!$D$9+(ISNUMBER(SEARCH("晚",B14:AF14)))*設定!$D$10))</f>
        <v/>
      </c>
      <c r="AI14" s="18" t="str">
        <f aca="false">IF($A14="","",SUMPRODUCT((ISNUMBER(SEARCH("早",B14:AF14)))+(ISNUMBER(SEARCH("午",B14:AF14)))+(ISNUMBER(SEARCH("晚",B14:AF14)))))</f>
        <v/>
      </c>
      <c r="AJ14" s="18" t="str">
        <f aca="false">IF($A14="","",COUNTIF(B14:AF14,"*晚*"))</f>
        <v/>
      </c>
      <c r="AK14" s="18" t="str">
        <f aca="false">IF(OR($A14="",人員!D13=""),"",人員!D13)</f>
        <v/>
      </c>
      <c r="AL14" s="20" t="str">
        <f aca="false">IF(OR($A14="",AK14=""),"",IF(AH14&gt;AK14,"超過上限",""))</f>
        <v/>
      </c>
    </row>
    <row r="15" customFormat="false" ht="15" hidden="false" customHeight="false" outlineLevel="0" collapsed="false">
      <c r="A15" s="16" t="str">
        <f aca="false">IF(人員!A14="","",人員!A14)</f>
        <v/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8" t="str">
        <f aca="false">IF($A15="","",SUMPRODUCT(--((ISNUMBER(SEARCH("早",B15:AF15)))+(ISNUMBER(SEARCH("午",B15:AF15)))+(ISNUMBER(SEARCH("晚",B15:AF15)))&gt;0)))</f>
        <v/>
      </c>
      <c r="AH15" s="19" t="str">
        <f aca="false">IF($A15="","",SUMPRODUCT((ISNUMBER(SEARCH("早",B15:AF15)))*設定!$D$8+(ISNUMBER(SEARCH("午",B15:AF15)))*設定!$D$9+(ISNUMBER(SEARCH("晚",B15:AF15)))*設定!$D$10))</f>
        <v/>
      </c>
      <c r="AI15" s="18" t="str">
        <f aca="false">IF($A15="","",SUMPRODUCT((ISNUMBER(SEARCH("早",B15:AF15)))+(ISNUMBER(SEARCH("午",B15:AF15)))+(ISNUMBER(SEARCH("晚",B15:AF15)))))</f>
        <v/>
      </c>
      <c r="AJ15" s="18" t="str">
        <f aca="false">IF($A15="","",COUNTIF(B15:AF15,"*晚*"))</f>
        <v/>
      </c>
      <c r="AK15" s="18" t="str">
        <f aca="false">IF(OR($A15="",人員!D14=""),"",人員!D14)</f>
        <v/>
      </c>
      <c r="AL15" s="20" t="str">
        <f aca="false">IF(OR($A15="",AK15=""),"",IF(AH15&gt;AK15,"超過上限",""))</f>
        <v/>
      </c>
    </row>
    <row r="16" customFormat="false" ht="15" hidden="false" customHeight="false" outlineLevel="0" collapsed="false">
      <c r="A16" s="16" t="str">
        <f aca="false">IF(人員!A15="","",人員!A15)</f>
        <v/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8" t="str">
        <f aca="false">IF($A16="","",SUMPRODUCT(--((ISNUMBER(SEARCH("早",B16:AF16)))+(ISNUMBER(SEARCH("午",B16:AF16)))+(ISNUMBER(SEARCH("晚",B16:AF16)))&gt;0)))</f>
        <v/>
      </c>
      <c r="AH16" s="19" t="str">
        <f aca="false">IF($A16="","",SUMPRODUCT((ISNUMBER(SEARCH("早",B16:AF16)))*設定!$D$8+(ISNUMBER(SEARCH("午",B16:AF16)))*設定!$D$9+(ISNUMBER(SEARCH("晚",B16:AF16)))*設定!$D$10))</f>
        <v/>
      </c>
      <c r="AI16" s="18" t="str">
        <f aca="false">IF($A16="","",SUMPRODUCT((ISNUMBER(SEARCH("早",B16:AF16)))+(ISNUMBER(SEARCH("午",B16:AF16)))+(ISNUMBER(SEARCH("晚",B16:AF16)))))</f>
        <v/>
      </c>
      <c r="AJ16" s="18" t="str">
        <f aca="false">IF($A16="","",COUNTIF(B16:AF16,"*晚*"))</f>
        <v/>
      </c>
      <c r="AK16" s="18" t="str">
        <f aca="false">IF(OR($A16="",人員!D15=""),"",人員!D15)</f>
        <v/>
      </c>
      <c r="AL16" s="20" t="str">
        <f aca="false">IF(OR($A16="",AK16=""),"",IF(AH16&gt;AK16,"超過上限",""))</f>
        <v/>
      </c>
    </row>
    <row r="17" customFormat="false" ht="15" hidden="false" customHeight="false" outlineLevel="0" collapsed="false">
      <c r="A17" s="16" t="str">
        <f aca="false">IF(人員!A16="","",人員!A16)</f>
        <v/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8" t="str">
        <f aca="false">IF($A17="","",SUMPRODUCT(--((ISNUMBER(SEARCH("早",B17:AF17)))+(ISNUMBER(SEARCH("午",B17:AF17)))+(ISNUMBER(SEARCH("晚",B17:AF17)))&gt;0)))</f>
        <v/>
      </c>
      <c r="AH17" s="19" t="str">
        <f aca="false">IF($A17="","",SUMPRODUCT((ISNUMBER(SEARCH("早",B17:AF17)))*設定!$D$8+(ISNUMBER(SEARCH("午",B17:AF17)))*設定!$D$9+(ISNUMBER(SEARCH("晚",B17:AF17)))*設定!$D$10))</f>
        <v/>
      </c>
      <c r="AI17" s="18" t="str">
        <f aca="false">IF($A17="","",SUMPRODUCT((ISNUMBER(SEARCH("早",B17:AF17)))+(ISNUMBER(SEARCH("午",B17:AF17)))+(ISNUMBER(SEARCH("晚",B17:AF17)))))</f>
        <v/>
      </c>
      <c r="AJ17" s="18" t="str">
        <f aca="false">IF($A17="","",COUNTIF(B17:AF17,"*晚*"))</f>
        <v/>
      </c>
      <c r="AK17" s="18" t="str">
        <f aca="false">IF(OR($A17="",人員!D16=""),"",人員!D16)</f>
        <v/>
      </c>
      <c r="AL17" s="20" t="str">
        <f aca="false">IF(OR($A17="",AK17=""),"",IF(AH17&gt;AK17,"超過上限",""))</f>
        <v/>
      </c>
    </row>
    <row r="18" customFormat="false" ht="15" hidden="false" customHeight="false" outlineLevel="0" collapsed="false">
      <c r="A18" s="16" t="str">
        <f aca="false">IF(人員!A17="","",人員!A17)</f>
        <v/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8" t="str">
        <f aca="false">IF($A18="","",SUMPRODUCT(--((ISNUMBER(SEARCH("早",B18:AF18)))+(ISNUMBER(SEARCH("午",B18:AF18)))+(ISNUMBER(SEARCH("晚",B18:AF18)))&gt;0)))</f>
        <v/>
      </c>
      <c r="AH18" s="19" t="str">
        <f aca="false">IF($A18="","",SUMPRODUCT((ISNUMBER(SEARCH("早",B18:AF18)))*設定!$D$8+(ISNUMBER(SEARCH("午",B18:AF18)))*設定!$D$9+(ISNUMBER(SEARCH("晚",B18:AF18)))*設定!$D$10))</f>
        <v/>
      </c>
      <c r="AI18" s="18" t="str">
        <f aca="false">IF($A18="","",SUMPRODUCT((ISNUMBER(SEARCH("早",B18:AF18)))+(ISNUMBER(SEARCH("午",B18:AF18)))+(ISNUMBER(SEARCH("晚",B18:AF18)))))</f>
        <v/>
      </c>
      <c r="AJ18" s="18" t="str">
        <f aca="false">IF($A18="","",COUNTIF(B18:AF18,"*晚*"))</f>
        <v/>
      </c>
      <c r="AK18" s="18" t="str">
        <f aca="false">IF(OR($A18="",人員!D17=""),"",人員!D17)</f>
        <v/>
      </c>
      <c r="AL18" s="20" t="str">
        <f aca="false">IF(OR($A18="",AK18=""),"",IF(AH18&gt;AK18,"超過上限",""))</f>
        <v/>
      </c>
    </row>
    <row r="19" customFormat="false" ht="15" hidden="false" customHeight="false" outlineLevel="0" collapsed="false">
      <c r="A19" s="16" t="str">
        <f aca="false">IF(人員!A18="","",人員!A18)</f>
        <v/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8" t="str">
        <f aca="false">IF($A19="","",SUMPRODUCT(--((ISNUMBER(SEARCH("早",B19:AF19)))+(ISNUMBER(SEARCH("午",B19:AF19)))+(ISNUMBER(SEARCH("晚",B19:AF19)))&gt;0)))</f>
        <v/>
      </c>
      <c r="AH19" s="19" t="str">
        <f aca="false">IF($A19="","",SUMPRODUCT((ISNUMBER(SEARCH("早",B19:AF19)))*設定!$D$8+(ISNUMBER(SEARCH("午",B19:AF19)))*設定!$D$9+(ISNUMBER(SEARCH("晚",B19:AF19)))*設定!$D$10))</f>
        <v/>
      </c>
      <c r="AI19" s="18" t="str">
        <f aca="false">IF($A19="","",SUMPRODUCT((ISNUMBER(SEARCH("早",B19:AF19)))+(ISNUMBER(SEARCH("午",B19:AF19)))+(ISNUMBER(SEARCH("晚",B19:AF19)))))</f>
        <v/>
      </c>
      <c r="AJ19" s="18" t="str">
        <f aca="false">IF($A19="","",COUNTIF(B19:AF19,"*晚*"))</f>
        <v/>
      </c>
      <c r="AK19" s="18" t="str">
        <f aca="false">IF(OR($A19="",人員!D18=""),"",人員!D18)</f>
        <v/>
      </c>
      <c r="AL19" s="20" t="str">
        <f aca="false">IF(OR($A19="",AK19=""),"",IF(AH19&gt;AK19,"超過上限",""))</f>
        <v/>
      </c>
    </row>
    <row r="20" customFormat="false" ht="15" hidden="false" customHeight="false" outlineLevel="0" collapsed="false">
      <c r="A20" s="16" t="str">
        <f aca="false">IF(人員!A19="","",人員!A19)</f>
        <v/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8" t="str">
        <f aca="false">IF($A20="","",SUMPRODUCT(--((ISNUMBER(SEARCH("早",B20:AF20)))+(ISNUMBER(SEARCH("午",B20:AF20)))+(ISNUMBER(SEARCH("晚",B20:AF20)))&gt;0)))</f>
        <v/>
      </c>
      <c r="AH20" s="19" t="str">
        <f aca="false">IF($A20="","",SUMPRODUCT((ISNUMBER(SEARCH("早",B20:AF20)))*設定!$D$8+(ISNUMBER(SEARCH("午",B20:AF20)))*設定!$D$9+(ISNUMBER(SEARCH("晚",B20:AF20)))*設定!$D$10))</f>
        <v/>
      </c>
      <c r="AI20" s="18" t="str">
        <f aca="false">IF($A20="","",SUMPRODUCT((ISNUMBER(SEARCH("早",B20:AF20)))+(ISNUMBER(SEARCH("午",B20:AF20)))+(ISNUMBER(SEARCH("晚",B20:AF20)))))</f>
        <v/>
      </c>
      <c r="AJ20" s="18" t="str">
        <f aca="false">IF($A20="","",COUNTIF(B20:AF20,"*晚*"))</f>
        <v/>
      </c>
      <c r="AK20" s="18" t="str">
        <f aca="false">IF(OR($A20="",人員!D19=""),"",人員!D19)</f>
        <v/>
      </c>
      <c r="AL20" s="20" t="str">
        <f aca="false">IF(OR($A20="",AK20=""),"",IF(AH20&gt;AK20,"超過上限",""))</f>
        <v/>
      </c>
    </row>
    <row r="22" customFormat="false" ht="15" hidden="false" customHeight="false" outlineLevel="0" collapsed="false">
      <c r="A22" s="14" t="s">
        <v>28</v>
      </c>
      <c r="B22" s="18" t="n">
        <f aca="false">IF(B$4="","",COUNTIF(B6:B20,"*早*"))</f>
        <v>1</v>
      </c>
      <c r="C22" s="18" t="n">
        <f aca="false">IF(C$4="","",COUNTIF(C6:C20,"*早*"))</f>
        <v>1</v>
      </c>
      <c r="D22" s="18" t="n">
        <f aca="false">IF(D$4="","",COUNTIF(D6:D20,"*早*"))</f>
        <v>0</v>
      </c>
      <c r="E22" s="18" t="n">
        <f aca="false">IF(E$4="","",COUNTIF(E6:E20,"*早*"))</f>
        <v>0</v>
      </c>
      <c r="F22" s="18" t="n">
        <f aca="false">IF(F$4="","",COUNTIF(F6:F20,"*早*"))</f>
        <v>1</v>
      </c>
      <c r="G22" s="18" t="n">
        <f aca="false">IF(G$4="","",COUNTIF(G6:G20,"*早*"))</f>
        <v>1</v>
      </c>
      <c r="H22" s="18" t="n">
        <f aca="false">IF(H$4="","",COUNTIF(H6:H20,"*早*"))</f>
        <v>0</v>
      </c>
      <c r="I22" s="18" t="n">
        <f aca="false">IF(I$4="","",COUNTIF(I6:I20,"*早*"))</f>
        <v>0</v>
      </c>
      <c r="J22" s="18" t="n">
        <f aca="false">IF(J$4="","",COUNTIF(J6:J20,"*早*"))</f>
        <v>0</v>
      </c>
      <c r="K22" s="18" t="n">
        <f aca="false">IF(K$4="","",COUNTIF(K6:K20,"*早*"))</f>
        <v>0</v>
      </c>
      <c r="L22" s="18" t="n">
        <f aca="false">IF(L$4="","",COUNTIF(L6:L20,"*早*"))</f>
        <v>0</v>
      </c>
      <c r="M22" s="18" t="n">
        <f aca="false">IF(M$4="","",COUNTIF(M6:M20,"*早*"))</f>
        <v>0</v>
      </c>
      <c r="N22" s="18" t="n">
        <f aca="false">IF(N$4="","",COUNTIF(N6:N20,"*早*"))</f>
        <v>0</v>
      </c>
      <c r="O22" s="18" t="n">
        <f aca="false">IF(O$4="","",COUNTIF(O6:O20,"*早*"))</f>
        <v>0</v>
      </c>
      <c r="P22" s="18" t="n">
        <f aca="false">IF(P$4="","",COUNTIF(P6:P20,"*早*"))</f>
        <v>0</v>
      </c>
      <c r="Q22" s="18" t="n">
        <f aca="false">IF(Q$4="","",COUNTIF(Q6:Q20,"*早*"))</f>
        <v>0</v>
      </c>
      <c r="R22" s="18" t="n">
        <f aca="false">IF(R$4="","",COUNTIF(R6:R20,"*早*"))</f>
        <v>0</v>
      </c>
      <c r="S22" s="18" t="n">
        <f aca="false">IF(S$4="","",COUNTIF(S6:S20,"*早*"))</f>
        <v>0</v>
      </c>
      <c r="T22" s="18" t="n">
        <f aca="false">IF(T$4="","",COUNTIF(T6:T20,"*早*"))</f>
        <v>0</v>
      </c>
      <c r="U22" s="18" t="n">
        <f aca="false">IF(U$4="","",COUNTIF(U6:U20,"*早*"))</f>
        <v>0</v>
      </c>
      <c r="V22" s="18" t="n">
        <f aca="false">IF(V$4="","",COUNTIF(V6:V20,"*早*"))</f>
        <v>0</v>
      </c>
      <c r="W22" s="18" t="n">
        <f aca="false">IF(W$4="","",COUNTIF(W6:W20,"*早*"))</f>
        <v>0</v>
      </c>
      <c r="X22" s="18" t="n">
        <f aca="false">IF(X$4="","",COUNTIF(X6:X20,"*早*"))</f>
        <v>0</v>
      </c>
      <c r="Y22" s="18" t="n">
        <f aca="false">IF(Y$4="","",COUNTIF(Y6:Y20,"*早*"))</f>
        <v>0</v>
      </c>
      <c r="Z22" s="18" t="n">
        <f aca="false">IF(Z$4="","",COUNTIF(Z6:Z20,"*早*"))</f>
        <v>0</v>
      </c>
      <c r="AA22" s="18" t="n">
        <f aca="false">IF(AA$4="","",COUNTIF(AA6:AA20,"*早*"))</f>
        <v>0</v>
      </c>
      <c r="AB22" s="18" t="n">
        <f aca="false">IF(AB$4="","",COUNTIF(AB6:AB20,"*早*"))</f>
        <v>0</v>
      </c>
      <c r="AC22" s="18" t="n">
        <f aca="false">IF(AC$4="","",COUNTIF(AC6:AC20,"*早*"))</f>
        <v>0</v>
      </c>
      <c r="AD22" s="18" t="n">
        <f aca="false">IF(AD$4="","",COUNTIF(AD6:AD20,"*早*"))</f>
        <v>0</v>
      </c>
      <c r="AE22" s="18" t="n">
        <f aca="false">IF(AE$4="","",COUNTIF(AE6:AE20,"*早*"))</f>
        <v>0</v>
      </c>
      <c r="AF22" s="18" t="str">
        <f aca="false">IF(AF$4="","",COUNTIF(AF6:AF20,"*早*"))</f>
        <v/>
      </c>
    </row>
    <row r="23" customFormat="false" ht="15" hidden="false" customHeight="false" outlineLevel="0" collapsed="false">
      <c r="A23" s="14" t="s">
        <v>29</v>
      </c>
      <c r="B23" s="18" t="n">
        <f aca="false">IF(B$4="","",COUNTIF(B6:B20,"*午*"))</f>
        <v>1</v>
      </c>
      <c r="C23" s="18" t="n">
        <f aca="false">IF(C$4="","",COUNTIF(C6:C20,"*午*"))</f>
        <v>1</v>
      </c>
      <c r="D23" s="18" t="n">
        <f aca="false">IF(D$4="","",COUNTIF(D6:D20,"*午*"))</f>
        <v>1</v>
      </c>
      <c r="E23" s="18" t="n">
        <f aca="false">IF(E$4="","",COUNTIF(E6:E20,"*午*"))</f>
        <v>0</v>
      </c>
      <c r="F23" s="18" t="n">
        <f aca="false">IF(F$4="","",COUNTIF(F6:F20,"*午*"))</f>
        <v>1</v>
      </c>
      <c r="G23" s="18" t="n">
        <f aca="false">IF(G$4="","",COUNTIF(G6:G20,"*午*"))</f>
        <v>0</v>
      </c>
      <c r="H23" s="18" t="n">
        <f aca="false">IF(H$4="","",COUNTIF(H6:H20,"*午*"))</f>
        <v>0</v>
      </c>
      <c r="I23" s="18" t="n">
        <f aca="false">IF(I$4="","",COUNTIF(I6:I20,"*午*"))</f>
        <v>0</v>
      </c>
      <c r="J23" s="18" t="n">
        <f aca="false">IF(J$4="","",COUNTIF(J6:J20,"*午*"))</f>
        <v>0</v>
      </c>
      <c r="K23" s="18" t="n">
        <f aca="false">IF(K$4="","",COUNTIF(K6:K20,"*午*"))</f>
        <v>0</v>
      </c>
      <c r="L23" s="18" t="n">
        <f aca="false">IF(L$4="","",COUNTIF(L6:L20,"*午*"))</f>
        <v>0</v>
      </c>
      <c r="M23" s="18" t="n">
        <f aca="false">IF(M$4="","",COUNTIF(M6:M20,"*午*"))</f>
        <v>0</v>
      </c>
      <c r="N23" s="18" t="n">
        <f aca="false">IF(N$4="","",COUNTIF(N6:N20,"*午*"))</f>
        <v>0</v>
      </c>
      <c r="O23" s="18" t="n">
        <f aca="false">IF(O$4="","",COUNTIF(O6:O20,"*午*"))</f>
        <v>0</v>
      </c>
      <c r="P23" s="18" t="n">
        <f aca="false">IF(P$4="","",COUNTIF(P6:P20,"*午*"))</f>
        <v>0</v>
      </c>
      <c r="Q23" s="18" t="n">
        <f aca="false">IF(Q$4="","",COUNTIF(Q6:Q20,"*午*"))</f>
        <v>0</v>
      </c>
      <c r="R23" s="18" t="n">
        <f aca="false">IF(R$4="","",COUNTIF(R6:R20,"*午*"))</f>
        <v>0</v>
      </c>
      <c r="S23" s="18" t="n">
        <f aca="false">IF(S$4="","",COUNTIF(S6:S20,"*午*"))</f>
        <v>0</v>
      </c>
      <c r="T23" s="18" t="n">
        <f aca="false">IF(T$4="","",COUNTIF(T6:T20,"*午*"))</f>
        <v>0</v>
      </c>
      <c r="U23" s="18" t="n">
        <f aca="false">IF(U$4="","",COUNTIF(U6:U20,"*午*"))</f>
        <v>0</v>
      </c>
      <c r="V23" s="18" t="n">
        <f aca="false">IF(V$4="","",COUNTIF(V6:V20,"*午*"))</f>
        <v>0</v>
      </c>
      <c r="W23" s="18" t="n">
        <f aca="false">IF(W$4="","",COUNTIF(W6:W20,"*午*"))</f>
        <v>0</v>
      </c>
      <c r="X23" s="18" t="n">
        <f aca="false">IF(X$4="","",COUNTIF(X6:X20,"*午*"))</f>
        <v>0</v>
      </c>
      <c r="Y23" s="18" t="n">
        <f aca="false">IF(Y$4="","",COUNTIF(Y6:Y20,"*午*"))</f>
        <v>0</v>
      </c>
      <c r="Z23" s="18" t="n">
        <f aca="false">IF(Z$4="","",COUNTIF(Z6:Z20,"*午*"))</f>
        <v>0</v>
      </c>
      <c r="AA23" s="18" t="n">
        <f aca="false">IF(AA$4="","",COUNTIF(AA6:AA20,"*午*"))</f>
        <v>0</v>
      </c>
      <c r="AB23" s="18" t="n">
        <f aca="false">IF(AB$4="","",COUNTIF(AB6:AB20,"*午*"))</f>
        <v>0</v>
      </c>
      <c r="AC23" s="18" t="n">
        <f aca="false">IF(AC$4="","",COUNTIF(AC6:AC20,"*午*"))</f>
        <v>0</v>
      </c>
      <c r="AD23" s="18" t="n">
        <f aca="false">IF(AD$4="","",COUNTIF(AD6:AD20,"*午*"))</f>
        <v>0</v>
      </c>
      <c r="AE23" s="18" t="n">
        <f aca="false">IF(AE$4="","",COUNTIF(AE6:AE20,"*午*"))</f>
        <v>0</v>
      </c>
      <c r="AF23" s="18" t="str">
        <f aca="false">IF(AF$4="","",COUNTIF(AF6:AF20,"*午*"))</f>
        <v/>
      </c>
    </row>
    <row r="24" customFormat="false" ht="15" hidden="false" customHeight="false" outlineLevel="0" collapsed="false">
      <c r="A24" s="14" t="s">
        <v>30</v>
      </c>
      <c r="B24" s="18" t="n">
        <f aca="false">IF(B$4="","",COUNTIF(B6:B20,"*晚*"))</f>
        <v>0</v>
      </c>
      <c r="C24" s="18" t="n">
        <f aca="false">IF(C$4="","",COUNTIF(C6:C20,"*晚*"))</f>
        <v>0</v>
      </c>
      <c r="D24" s="18" t="n">
        <f aca="false">IF(D$4="","",COUNTIF(D6:D20,"*晚*"))</f>
        <v>1</v>
      </c>
      <c r="E24" s="18" t="n">
        <f aca="false">IF(E$4="","",COUNTIF(E6:E20,"*晚*"))</f>
        <v>0</v>
      </c>
      <c r="F24" s="18" t="n">
        <f aca="false">IF(F$4="","",COUNTIF(F6:F20,"*晚*"))</f>
        <v>0</v>
      </c>
      <c r="G24" s="18" t="n">
        <f aca="false">IF(G$4="","",COUNTIF(G6:G20,"*晚*"))</f>
        <v>1</v>
      </c>
      <c r="H24" s="18" t="n">
        <f aca="false">IF(H$4="","",COUNTIF(H6:H20,"*晚*"))</f>
        <v>0</v>
      </c>
      <c r="I24" s="18" t="n">
        <f aca="false">IF(I$4="","",COUNTIF(I6:I20,"*晚*"))</f>
        <v>0</v>
      </c>
      <c r="J24" s="18" t="n">
        <f aca="false">IF(J$4="","",COUNTIF(J6:J20,"*晚*"))</f>
        <v>0</v>
      </c>
      <c r="K24" s="18" t="n">
        <f aca="false">IF(K$4="","",COUNTIF(K6:K20,"*晚*"))</f>
        <v>0</v>
      </c>
      <c r="L24" s="18" t="n">
        <f aca="false">IF(L$4="","",COUNTIF(L6:L20,"*晚*"))</f>
        <v>0</v>
      </c>
      <c r="M24" s="18" t="n">
        <f aca="false">IF(M$4="","",COUNTIF(M6:M20,"*晚*"))</f>
        <v>0</v>
      </c>
      <c r="N24" s="18" t="n">
        <f aca="false">IF(N$4="","",COUNTIF(N6:N20,"*晚*"))</f>
        <v>0</v>
      </c>
      <c r="O24" s="18" t="n">
        <f aca="false">IF(O$4="","",COUNTIF(O6:O20,"*晚*"))</f>
        <v>0</v>
      </c>
      <c r="P24" s="18" t="n">
        <f aca="false">IF(P$4="","",COUNTIF(P6:P20,"*晚*"))</f>
        <v>0</v>
      </c>
      <c r="Q24" s="18" t="n">
        <f aca="false">IF(Q$4="","",COUNTIF(Q6:Q20,"*晚*"))</f>
        <v>0</v>
      </c>
      <c r="R24" s="18" t="n">
        <f aca="false">IF(R$4="","",COUNTIF(R6:R20,"*晚*"))</f>
        <v>0</v>
      </c>
      <c r="S24" s="18" t="n">
        <f aca="false">IF(S$4="","",COUNTIF(S6:S20,"*晚*"))</f>
        <v>0</v>
      </c>
      <c r="T24" s="18" t="n">
        <f aca="false">IF(T$4="","",COUNTIF(T6:T20,"*晚*"))</f>
        <v>0</v>
      </c>
      <c r="U24" s="18" t="n">
        <f aca="false">IF(U$4="","",COUNTIF(U6:U20,"*晚*"))</f>
        <v>0</v>
      </c>
      <c r="V24" s="18" t="n">
        <f aca="false">IF(V$4="","",COUNTIF(V6:V20,"*晚*"))</f>
        <v>0</v>
      </c>
      <c r="W24" s="18" t="n">
        <f aca="false">IF(W$4="","",COUNTIF(W6:W20,"*晚*"))</f>
        <v>0</v>
      </c>
      <c r="X24" s="18" t="n">
        <f aca="false">IF(X$4="","",COUNTIF(X6:X20,"*晚*"))</f>
        <v>0</v>
      </c>
      <c r="Y24" s="18" t="n">
        <f aca="false">IF(Y$4="","",COUNTIF(Y6:Y20,"*晚*"))</f>
        <v>0</v>
      </c>
      <c r="Z24" s="18" t="n">
        <f aca="false">IF(Z$4="","",COUNTIF(Z6:Z20,"*晚*"))</f>
        <v>0</v>
      </c>
      <c r="AA24" s="18" t="n">
        <f aca="false">IF(AA$4="","",COUNTIF(AA6:AA20,"*晚*"))</f>
        <v>0</v>
      </c>
      <c r="AB24" s="18" t="n">
        <f aca="false">IF(AB$4="","",COUNTIF(AB6:AB20,"*晚*"))</f>
        <v>0</v>
      </c>
      <c r="AC24" s="18" t="n">
        <f aca="false">IF(AC$4="","",COUNTIF(AC6:AC20,"*晚*"))</f>
        <v>0</v>
      </c>
      <c r="AD24" s="18" t="n">
        <f aca="false">IF(AD$4="","",COUNTIF(AD6:AD20,"*晚*"))</f>
        <v>0</v>
      </c>
      <c r="AE24" s="18" t="n">
        <f aca="false">IF(AE$4="","",COUNTIF(AE6:AE20,"*晚*"))</f>
        <v>0</v>
      </c>
      <c r="AF24" s="18" t="str">
        <f aca="false">IF(AF$4="","",COUNTIF(AF6:AF20,"*晚*"))</f>
        <v/>
      </c>
    </row>
    <row r="25" customFormat="false" ht="15" hidden="false" customHeight="false" outlineLevel="0" collapsed="false">
      <c r="A25" s="21" t="s">
        <v>31</v>
      </c>
    </row>
  </sheetData>
  <mergeCells count="8">
    <mergeCell ref="A1:AL1"/>
    <mergeCell ref="A2:AF2"/>
    <mergeCell ref="AG4:AG5"/>
    <mergeCell ref="AH4:AH5"/>
    <mergeCell ref="AI4:AI5"/>
    <mergeCell ref="AJ4:AJ5"/>
    <mergeCell ref="AK4:AK5"/>
    <mergeCell ref="AL4:AL5"/>
  </mergeCells>
  <conditionalFormatting sqref="B22:AF22">
    <cfRule type="expression" priority="2" aboveAverage="0" equalAverage="0" bottom="0" percent="0" rank="0" text="" dxfId="0">
      <formula>AND(B$4&lt;&gt;"",B22&lt;設定!$E$8)</formula>
    </cfRule>
  </conditionalFormatting>
  <conditionalFormatting sqref="B23:AF23">
    <cfRule type="expression" priority="3" aboveAverage="0" equalAverage="0" bottom="0" percent="0" rank="0" text="" dxfId="0">
      <formula>AND(B$4&lt;&gt;"",B23&lt;設定!$E$9)</formula>
    </cfRule>
  </conditionalFormatting>
  <conditionalFormatting sqref="B24:AF24">
    <cfRule type="expression" priority="4" aboveAverage="0" equalAverage="0" bottom="0" percent="0" rank="0" text="" dxfId="0">
      <formula>AND(B$4&lt;&gt;"",B24&lt;設定!$E$10)</formula>
    </cfRule>
  </conditionalFormatting>
  <conditionalFormatting sqref="B6:AF20">
    <cfRule type="expression" priority="5" aboveAverage="0" equalAverage="0" bottom="0" percent="0" rank="0" text="" dxfId="1">
      <formula>OR(B6="休",B6="特休",B6="請假")</formula>
    </cfRule>
  </conditionalFormatting>
  <conditionalFormatting sqref="B4:AF5">
    <cfRule type="expression" priority="6" aboveAverage="0" equalAverage="0" bottom="0" percent="0" rank="0" text="" dxfId="2">
      <formula>OR(B$5="六",B$5="日")</formula>
    </cfRule>
  </conditionalFormatting>
  <conditionalFormatting sqref="AL6:AL20">
    <cfRule type="cellIs" priority="7" operator="equal" aboveAverage="0" equalAverage="0" bottom="0" percent="0" rank="0" text="" dxfId="3">
      <formula>"超過上限"</formula>
    </cfRule>
  </conditionalFormatting>
  <dataValidations count="1">
    <dataValidation allowBlank="true" errorStyle="stop" operator="between" showDropDown="false" showErrorMessage="false" showInputMessage="false" sqref="B6:AF20" type="list">
      <formula1>"早,午,晚,早午,午晚,早晚,早午晚,休,特休,請假"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4"/>
  </cols>
  <sheetData>
    <row r="1" customFormat="false" ht="33.75" hidden="false" customHeight="true" outlineLevel="0" collapsed="false">
      <c r="A1" s="22" t="s">
        <v>32</v>
      </c>
      <c r="B1" s="22"/>
      <c r="C1" s="22"/>
      <c r="D1" s="22"/>
      <c r="E1" s="22"/>
    </row>
    <row r="2" customFormat="false" ht="30" hidden="false" customHeight="true" outlineLevel="0" collapsed="false">
      <c r="A2" s="23" t="s">
        <v>33</v>
      </c>
      <c r="B2" s="23"/>
      <c r="C2" s="23"/>
      <c r="D2" s="23"/>
      <c r="E2" s="23"/>
    </row>
    <row r="4" customFormat="false" ht="15" hidden="false" customHeight="false" outlineLevel="0" collapsed="false">
      <c r="A4" s="12" t="s">
        <v>34</v>
      </c>
      <c r="B4" s="24" t="n">
        <v>2026</v>
      </c>
    </row>
    <row r="5" customFormat="false" ht="15" hidden="false" customHeight="false" outlineLevel="0" collapsed="false">
      <c r="A5" s="12" t="s">
        <v>35</v>
      </c>
      <c r="B5" s="24" t="n">
        <v>11</v>
      </c>
    </row>
    <row r="7" customFormat="false" ht="33.75" hidden="false" customHeight="true" outlineLevel="0" collapsed="false">
      <c r="A7" s="25" t="s">
        <v>36</v>
      </c>
      <c r="B7" s="25" t="s">
        <v>37</v>
      </c>
      <c r="C7" s="25" t="s">
        <v>38</v>
      </c>
      <c r="D7" s="25" t="s">
        <v>39</v>
      </c>
      <c r="E7" s="25" t="s">
        <v>40</v>
      </c>
    </row>
    <row r="8" customFormat="false" ht="15" hidden="false" customHeight="false" outlineLevel="0" collapsed="false">
      <c r="A8" s="12" t="s">
        <v>41</v>
      </c>
      <c r="B8" s="15" t="s">
        <v>42</v>
      </c>
      <c r="C8" s="26" t="s">
        <v>43</v>
      </c>
      <c r="D8" s="27" t="n">
        <v>4</v>
      </c>
      <c r="E8" s="24" t="n">
        <v>3</v>
      </c>
    </row>
    <row r="9" customFormat="false" ht="15" hidden="false" customHeight="false" outlineLevel="0" collapsed="false">
      <c r="A9" s="12" t="s">
        <v>44</v>
      </c>
      <c r="B9" s="15" t="s">
        <v>45</v>
      </c>
      <c r="C9" s="26" t="s">
        <v>46</v>
      </c>
      <c r="D9" s="27" t="n">
        <v>4</v>
      </c>
      <c r="E9" s="24" t="n">
        <v>3</v>
      </c>
    </row>
    <row r="10" customFormat="false" ht="15" hidden="false" customHeight="false" outlineLevel="0" collapsed="false">
      <c r="A10" s="12" t="s">
        <v>47</v>
      </c>
      <c r="B10" s="15" t="s">
        <v>48</v>
      </c>
      <c r="C10" s="26" t="s">
        <v>49</v>
      </c>
      <c r="D10" s="27" t="n">
        <v>3</v>
      </c>
      <c r="E10" s="24" t="n">
        <v>3</v>
      </c>
    </row>
    <row r="12" customFormat="false" ht="15" hidden="false" customHeight="false" outlineLevel="0" collapsed="false">
      <c r="A12" s="11" t="s">
        <v>50</v>
      </c>
      <c r="B12" s="11"/>
      <c r="C12" s="11"/>
      <c r="D12" s="11"/>
      <c r="E12" s="11"/>
    </row>
  </sheetData>
  <mergeCells count="3">
    <mergeCell ref="A1:E1"/>
    <mergeCell ref="A2:E2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8"/>
  </cols>
  <sheetData>
    <row r="1" customFormat="false" ht="33.75" hidden="false" customHeight="true" outlineLevel="0" collapsed="false">
      <c r="A1" s="22" t="s">
        <v>51</v>
      </c>
      <c r="B1" s="22"/>
      <c r="C1" s="22"/>
      <c r="D1" s="22"/>
    </row>
    <row r="2" customFormat="false" ht="30" hidden="false" customHeight="true" outlineLevel="0" collapsed="false">
      <c r="A2" s="23" t="s">
        <v>52</v>
      </c>
      <c r="B2" s="23"/>
      <c r="C2" s="23"/>
      <c r="D2" s="23"/>
    </row>
    <row r="4" customFormat="false" ht="33.75" hidden="false" customHeight="true" outlineLevel="0" collapsed="false">
      <c r="A4" s="25" t="s">
        <v>53</v>
      </c>
      <c r="B4" s="25" t="s">
        <v>54</v>
      </c>
      <c r="C4" s="25" t="s">
        <v>55</v>
      </c>
      <c r="D4" s="25" t="s">
        <v>56</v>
      </c>
    </row>
    <row r="5" customFormat="false" ht="15" hidden="false" customHeight="false" outlineLevel="0" collapsed="false">
      <c r="A5" s="17" t="s">
        <v>57</v>
      </c>
      <c r="B5" s="17" t="s">
        <v>58</v>
      </c>
      <c r="C5" s="17" t="s">
        <v>59</v>
      </c>
      <c r="D5" s="24" t="n">
        <v>176</v>
      </c>
    </row>
    <row r="6" customFormat="false" ht="15" hidden="false" customHeight="false" outlineLevel="0" collapsed="false">
      <c r="A6" s="17"/>
      <c r="B6" s="17"/>
      <c r="C6" s="17"/>
      <c r="D6" s="24"/>
    </row>
    <row r="7" customFormat="false" ht="15" hidden="false" customHeight="false" outlineLevel="0" collapsed="false">
      <c r="A7" s="17"/>
      <c r="B7" s="17"/>
      <c r="C7" s="17"/>
      <c r="D7" s="24"/>
    </row>
    <row r="8" customFormat="false" ht="15" hidden="false" customHeight="false" outlineLevel="0" collapsed="false">
      <c r="A8" s="17"/>
      <c r="B8" s="17"/>
      <c r="C8" s="17"/>
      <c r="D8" s="24"/>
    </row>
    <row r="9" customFormat="false" ht="15" hidden="false" customHeight="false" outlineLevel="0" collapsed="false">
      <c r="A9" s="17"/>
      <c r="B9" s="17"/>
      <c r="C9" s="17"/>
      <c r="D9" s="24"/>
    </row>
    <row r="10" customFormat="false" ht="15" hidden="false" customHeight="false" outlineLevel="0" collapsed="false">
      <c r="A10" s="17"/>
      <c r="B10" s="17"/>
      <c r="C10" s="17"/>
      <c r="D10" s="24"/>
    </row>
    <row r="11" customFormat="false" ht="15" hidden="false" customHeight="false" outlineLevel="0" collapsed="false">
      <c r="A11" s="17"/>
      <c r="B11" s="17"/>
      <c r="C11" s="17"/>
      <c r="D11" s="24"/>
    </row>
    <row r="12" customFormat="false" ht="15" hidden="false" customHeight="false" outlineLevel="0" collapsed="false">
      <c r="A12" s="17"/>
      <c r="B12" s="17"/>
      <c r="C12" s="17"/>
      <c r="D12" s="24"/>
    </row>
    <row r="13" customFormat="false" ht="15" hidden="false" customHeight="false" outlineLevel="0" collapsed="false">
      <c r="A13" s="17"/>
      <c r="B13" s="17"/>
      <c r="C13" s="17"/>
      <c r="D13" s="24"/>
    </row>
    <row r="14" customFormat="false" ht="15" hidden="false" customHeight="false" outlineLevel="0" collapsed="false">
      <c r="A14" s="17"/>
      <c r="B14" s="17"/>
      <c r="C14" s="17"/>
      <c r="D14" s="24"/>
    </row>
    <row r="15" customFormat="false" ht="15" hidden="false" customHeight="false" outlineLevel="0" collapsed="false">
      <c r="A15" s="17"/>
      <c r="B15" s="17"/>
      <c r="C15" s="17"/>
      <c r="D15" s="24"/>
    </row>
    <row r="16" customFormat="false" ht="15" hidden="false" customHeight="false" outlineLevel="0" collapsed="false">
      <c r="A16" s="17"/>
      <c r="B16" s="17"/>
      <c r="C16" s="17"/>
      <c r="D16" s="24"/>
    </row>
    <row r="17" customFormat="false" ht="15" hidden="false" customHeight="false" outlineLevel="0" collapsed="false">
      <c r="A17" s="17"/>
      <c r="B17" s="17"/>
      <c r="C17" s="17"/>
      <c r="D17" s="24"/>
    </row>
    <row r="18" customFormat="false" ht="15" hidden="false" customHeight="false" outlineLevel="0" collapsed="false">
      <c r="A18" s="17"/>
      <c r="B18" s="17"/>
      <c r="C18" s="17"/>
      <c r="D18" s="24"/>
    </row>
    <row r="19" customFormat="false" ht="15" hidden="false" customHeight="false" outlineLevel="0" collapsed="false">
      <c r="A19" s="17"/>
      <c r="B19" s="17"/>
      <c r="C19" s="17"/>
      <c r="D19" s="24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6"/>
    <col collapsed="false" customWidth="true" hidden="false" outlineLevel="0" max="3" min="3" style="0" width="40"/>
  </cols>
  <sheetData>
    <row r="1" customFormat="false" ht="33.75" hidden="false" customHeight="true" outlineLevel="0" collapsed="false">
      <c r="A1" s="22" t="s">
        <v>60</v>
      </c>
      <c r="B1" s="22"/>
      <c r="C1" s="22"/>
      <c r="D1" s="22"/>
    </row>
    <row r="3" customFormat="false" ht="33.75" hidden="false" customHeight="true" outlineLevel="0" collapsed="false">
      <c r="A3" s="25" t="s">
        <v>61</v>
      </c>
      <c r="B3" s="25" t="s">
        <v>62</v>
      </c>
      <c r="C3" s="25" t="s">
        <v>63</v>
      </c>
    </row>
    <row r="4" customFormat="false" ht="30" hidden="false" customHeight="true" outlineLevel="0" collapsed="false">
      <c r="A4" s="28" t="s">
        <v>64</v>
      </c>
      <c r="B4" s="29" t="s">
        <v>65</v>
      </c>
      <c r="C4" s="30" t="s">
        <v>66</v>
      </c>
    </row>
    <row r="5" customFormat="false" ht="30" hidden="false" customHeight="true" outlineLevel="0" collapsed="false">
      <c r="A5" s="28" t="s">
        <v>67</v>
      </c>
      <c r="B5" s="29" t="s">
        <v>68</v>
      </c>
      <c r="C5" s="30" t="s">
        <v>69</v>
      </c>
    </row>
    <row r="6" customFormat="false" ht="30" hidden="false" customHeight="true" outlineLevel="0" collapsed="false">
      <c r="A6" s="16" t="s">
        <v>70</v>
      </c>
      <c r="B6" s="29" t="s">
        <v>71</v>
      </c>
      <c r="C6" s="30" t="s">
        <v>72</v>
      </c>
    </row>
    <row r="7" customFormat="false" ht="30" hidden="false" customHeight="true" outlineLevel="0" collapsed="false">
      <c r="A7" s="16" t="s">
        <v>73</v>
      </c>
      <c r="B7" s="29" t="s">
        <v>74</v>
      </c>
      <c r="C7" s="30" t="s">
        <v>75</v>
      </c>
    </row>
    <row r="9" customFormat="false" ht="15" hidden="false" customHeight="false" outlineLevel="0" collapsed="false">
      <c r="A9" s="31" t="s">
        <v>76</v>
      </c>
    </row>
  </sheetData>
  <mergeCells count="1">
    <mergeCell ref="A1:D1"/>
  </mergeCells>
  <hyperlinks>
    <hyperlink ref="C4" r:id="rId1" display="https://olimedi.com/attendance.html"/>
    <hyperlink ref="C5" r:id="rId2" display="https://olimedi.com/materials.html"/>
    <hyperlink ref="C6" r:id="rId3" display="https://olimedi.com/blog/"/>
    <hyperlink ref="C7" r:id="rId4" display="https://line.me/R/ti/p/@336appf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2026-10-03T14:21:11Z</dcterms:created>
  <dc:creator>openpyxl</dc:creator>
  <dc:description/>
  <dc:language>en-US</dc:language>
  <cp:lastModifiedBy/>
  <dcterms:modified xsi:type="dcterms:W3CDTF">2026-10-03T14:21:11Z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