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品項與安全庫存" sheetId="2" state="visible" r:id="rId4"/>
    <sheet name="效期追蹤" sheetId="3" state="visible" r:id="rId5"/>
    <sheet name="盤點紀錄" sheetId="4" state="visible" r:id="rId6"/>
    <sheet name="更多工具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Noto Sans CJK SC"/>
            <family val="2"/>
          </rPr>
          <t xml:space="preserve">安全庫存＝每日平均用量 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（交貨天數＋緩衝天數），無條件進位。</t>
        </r>
      </text>
    </comment>
    <comment ref="L4" authorId="0">
      <text>
        <r>
          <rPr>
            <sz val="10"/>
            <rFont val="Noto Sans CJK SC"/>
            <family val="2"/>
          </rPr>
          <t xml:space="preserve">建議叫貨量＝補到「安全庫存＋</t>
        </r>
        <r>
          <rPr>
            <sz val="10"/>
            <rFont val="Arial"/>
            <family val="2"/>
          </rPr>
          <t xml:space="preserve">30 </t>
        </r>
        <r>
          <rPr>
            <sz val="10"/>
            <rFont val="Noto Sans CJK SC"/>
            <family val="2"/>
          </rPr>
          <t xml:space="preserve">天用量」所需的數量，可依診所習慣調整。</t>
        </r>
      </text>
    </comment>
  </commentList>
</comments>
</file>

<file path=xl/sharedStrings.xml><?xml version="1.0" encoding="utf-8"?>
<sst xmlns="http://schemas.openxmlformats.org/spreadsheetml/2006/main" count="91" uniqueCount="82">
  <si>
    <r>
      <rPr>
        <b val="true"/>
        <sz val="15"/>
        <color rgb="FFFFFFFF"/>
        <rFont val="Arial"/>
        <family val="0"/>
        <charset val="1"/>
      </rPr>
      <t xml:space="preserve">Olimedi </t>
    </r>
    <r>
      <rPr>
        <b val="true"/>
        <sz val="15"/>
        <color rgb="FFFFFFFF"/>
        <rFont val="Noto Sans CJK SC"/>
        <family val="2"/>
      </rPr>
      <t xml:space="preserve">奧里醫療資訊｜耗材盤點與安全庫存表</t>
    </r>
  </si>
  <si>
    <t xml:space="preserve">怎麼使用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</si>
  <si>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在「品項與安全庫存」填每項耗材的品名規格、單價、每天平均用量、廠商交貨天數與緩衝天數，系統會算出安全庫存。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</si>
  <si>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每次盤點後更新「目前庫存」，低於安全庫存會顯示「需叫貨」，並算出建議叫貨量。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</si>
  <si>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表格會依年度金額自動做 </t>
    </r>
    <r>
      <rPr>
        <sz val="11"/>
        <rFont val="Arial"/>
        <family val="0"/>
        <charset val="1"/>
      </rPr>
      <t xml:space="preserve">ABC </t>
    </r>
    <r>
      <rPr>
        <sz val="11"/>
        <rFont val="Noto Sans CJK SC"/>
        <family val="2"/>
      </rPr>
      <t xml:space="preserve">分級（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：累計金額前 </t>
    </r>
    <r>
      <rPr>
        <sz val="11"/>
        <rFont val="Arial"/>
        <family val="0"/>
        <charset val="1"/>
      </rPr>
      <t xml:space="preserve">80%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80%–95%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：其餘），並建議盤點頻率：</t>
    </r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每週、</t>
    </r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每月、</t>
    </r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每季。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</si>
  <si>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「效期追蹤」記錄每一批的批號與效期，會自動標出已過期、</t>
    </r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天內、</t>
    </r>
    <r>
      <rPr>
        <sz val="11"/>
        <rFont val="Arial"/>
        <family val="0"/>
        <charset val="1"/>
      </rPr>
      <t xml:space="preserve">90 </t>
    </r>
    <r>
      <rPr>
        <sz val="11"/>
        <rFont val="Noto Sans CJK SC"/>
        <family val="2"/>
      </rPr>
      <t xml:space="preserve">天內到期的批號。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</si>
  <si>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「盤點紀錄」選品名後會帶出帳上數量，輸入實盤數量即可看到差異，並記錄差異原因。</t>
    </r>
  </si>
  <si>
    <t xml:space="preserve">顏色說明</t>
  </si>
  <si>
    <t xml:space="preserve">請填寫</t>
  </si>
  <si>
    <t xml:space="preserve">黃色格子＝請自行填寫或修改；其他格子有公式，會自動計算，請勿刪除。</t>
  </si>
  <si>
    <t xml:space="preserve">自動計算</t>
  </si>
  <si>
    <t xml:space="preserve">白色格子＝公式自動帶出。標示「（範例）」的資料可直接覆蓋或刪除。</t>
  </si>
  <si>
    <t xml:space="preserve">本範本為一般庫存管理工具，安全庫存與建議叫貨量為估算值，請依實際情況調整。管制藥品、植入物等有專門規定的品項，請依主管機關最新規定辦理。</t>
  </si>
  <si>
    <t xml:space="preserve">用 Excel 管得很累？Oli 系統可以自動完成這些計算 → 加 LINE 問 Oliver（@336appfx），預約免費線上展示</t>
  </si>
  <si>
    <t xml:space="preserve">更多診所管理實用文章：olimedi.com/blog</t>
  </si>
  <si>
    <t xml:space="preserve">品項與安全庫存</t>
  </si>
  <si>
    <r>
      <rPr>
        <sz val="10"/>
        <color rgb="FF4A5F57"/>
        <rFont val="Noto Sans CJK SC"/>
        <family val="2"/>
      </rPr>
      <t xml:space="preserve">最多 </t>
    </r>
    <r>
      <rPr>
        <sz val="10"/>
        <color rgb="FF4A5F57"/>
        <rFont val="Arial"/>
        <family val="0"/>
        <charset val="1"/>
      </rPr>
      <t xml:space="preserve">100 </t>
    </r>
    <r>
      <rPr>
        <sz val="10"/>
        <color rgb="FF4A5F57"/>
        <rFont val="Noto Sans CJK SC"/>
        <family val="2"/>
      </rPr>
      <t xml:space="preserve">項。標「（範例）」的列可直接覆蓋或刪除。</t>
    </r>
  </si>
  <si>
    <t xml:space="preserve">品名規格</t>
  </si>
  <si>
    <t xml:space="preserve">單位</t>
  </si>
  <si>
    <t xml:space="preserve">庫位</t>
  </si>
  <si>
    <t xml:space="preserve">供應商</t>
  </si>
  <si>
    <t xml:space="preserve">單價（元）</t>
  </si>
  <si>
    <t xml:space="preserve">每日平均用量</t>
  </si>
  <si>
    <t xml:space="preserve">廠商交貨天數</t>
  </si>
  <si>
    <t xml:space="preserve">緩衝天數</t>
  </si>
  <si>
    <t xml:space="preserve">安全庫存</t>
  </si>
  <si>
    <t xml:space="preserve">目前庫存</t>
  </si>
  <si>
    <t xml:space="preserve">狀態</t>
  </si>
  <si>
    <t xml:space="preserve">建議叫貨量</t>
  </si>
  <si>
    <t xml:space="preserve">年度金額（元）</t>
  </si>
  <si>
    <t xml:space="preserve">累計金額占比</t>
  </si>
  <si>
    <r>
      <rPr>
        <b val="true"/>
        <sz val="10"/>
        <color rgb="FFFFFFFF"/>
        <rFont val="Arial"/>
        <family val="0"/>
        <charset val="1"/>
      </rPr>
      <t xml:space="preserve">ABC </t>
    </r>
    <r>
      <rPr>
        <b val="true"/>
        <sz val="10"/>
        <color rgb="FFFFFFFF"/>
        <rFont val="Noto Sans CJK SC"/>
        <family val="2"/>
      </rPr>
      <t xml:space="preserve">等級</t>
    </r>
  </si>
  <si>
    <t xml:space="preserve">建議盤點頻率</t>
  </si>
  <si>
    <r>
      <rPr>
        <sz val="10"/>
        <color rgb="FF17332B"/>
        <rFont val="Noto Sans CJK SC"/>
        <family val="2"/>
      </rPr>
      <t xml:space="preserve">骨整合植體 </t>
    </r>
    <r>
      <rPr>
        <sz val="10"/>
        <color rgb="FF17332B"/>
        <rFont val="Arial"/>
        <family val="0"/>
        <charset val="1"/>
      </rPr>
      <t xml:space="preserve">4.0×10mm</t>
    </r>
    <r>
      <rPr>
        <sz val="10"/>
        <color rgb="FF17332B"/>
        <rFont val="Noto Sans CJK SC"/>
        <family val="2"/>
      </rPr>
      <t xml:space="preserve">（範例）</t>
    </r>
  </si>
  <si>
    <t xml:space="preserve">支</t>
  </si>
  <si>
    <r>
      <rPr>
        <sz val="10"/>
        <color rgb="FF17332B"/>
        <rFont val="Arial"/>
        <family val="0"/>
        <charset val="1"/>
      </rPr>
      <t xml:space="preserve">A1 </t>
    </r>
    <r>
      <rPr>
        <sz val="10"/>
        <color rgb="FF17332B"/>
        <rFont val="Noto Sans CJK SC"/>
        <family val="2"/>
      </rPr>
      <t xml:space="preserve">櫃</t>
    </r>
  </si>
  <si>
    <t xml:space="preserve">範例醫材公司</t>
  </si>
  <si>
    <r>
      <rPr>
        <sz val="10"/>
        <color rgb="FF17332B"/>
        <rFont val="Noto Sans CJK SC"/>
        <family val="2"/>
      </rPr>
      <t xml:space="preserve">外科手套 </t>
    </r>
    <r>
      <rPr>
        <sz val="10"/>
        <color rgb="FF17332B"/>
        <rFont val="Arial"/>
        <family val="0"/>
        <charset val="1"/>
      </rPr>
      <t xml:space="preserve">M </t>
    </r>
    <r>
      <rPr>
        <sz val="10"/>
        <color rgb="FF17332B"/>
        <rFont val="Noto Sans CJK SC"/>
        <family val="2"/>
      </rPr>
      <t xml:space="preserve">號 </t>
    </r>
    <r>
      <rPr>
        <sz val="10"/>
        <color rgb="FF17332B"/>
        <rFont val="Arial"/>
        <family val="0"/>
        <charset val="1"/>
      </rPr>
      <t xml:space="preserve">100 </t>
    </r>
    <r>
      <rPr>
        <sz val="10"/>
        <color rgb="FF17332B"/>
        <rFont val="Noto Sans CJK SC"/>
        <family val="2"/>
      </rPr>
      <t xml:space="preserve">入（範例）</t>
    </r>
  </si>
  <si>
    <t xml:space="preserve">盒</t>
  </si>
  <si>
    <r>
      <rPr>
        <sz val="10"/>
        <color rgb="FF17332B"/>
        <rFont val="Arial"/>
        <family val="0"/>
        <charset val="1"/>
      </rPr>
      <t xml:space="preserve">B2 </t>
    </r>
    <r>
      <rPr>
        <sz val="10"/>
        <color rgb="FF17332B"/>
        <rFont val="Noto Sans CJK SC"/>
        <family val="2"/>
      </rPr>
      <t xml:space="preserve">櫃</t>
    </r>
  </si>
  <si>
    <t xml:space="preserve">範例耗材行</t>
  </si>
  <si>
    <r>
      <rPr>
        <sz val="10"/>
        <color rgb="FF17332B"/>
        <rFont val="Noto Sans CJK SC"/>
        <family val="2"/>
      </rPr>
      <t xml:space="preserve">紗布 </t>
    </r>
    <r>
      <rPr>
        <sz val="10"/>
        <color rgb="FF17332B"/>
        <rFont val="Arial"/>
        <family val="0"/>
        <charset val="1"/>
      </rPr>
      <t xml:space="preserve">4×4 </t>
    </r>
    <r>
      <rPr>
        <sz val="10"/>
        <color rgb="FF17332B"/>
        <rFont val="Noto Sans CJK SC"/>
        <family val="2"/>
      </rPr>
      <t xml:space="preserve">吋 </t>
    </r>
    <r>
      <rPr>
        <sz val="10"/>
        <color rgb="FF17332B"/>
        <rFont val="Arial"/>
        <family val="0"/>
        <charset val="1"/>
      </rPr>
      <t xml:space="preserve">100 </t>
    </r>
    <r>
      <rPr>
        <sz val="10"/>
        <color rgb="FF17332B"/>
        <rFont val="Noto Sans CJK SC"/>
        <family val="2"/>
      </rPr>
      <t xml:space="preserve">片（範例）</t>
    </r>
  </si>
  <si>
    <t xml:space="preserve">包</t>
  </si>
  <si>
    <r>
      <rPr>
        <sz val="10"/>
        <color rgb="FF17332B"/>
        <rFont val="Arial"/>
        <family val="0"/>
        <charset val="1"/>
      </rPr>
      <t xml:space="preserve">B3 </t>
    </r>
    <r>
      <rPr>
        <sz val="10"/>
        <color rgb="FF17332B"/>
        <rFont val="Noto Sans CJK SC"/>
        <family val="2"/>
      </rPr>
      <t xml:space="preserve">櫃</t>
    </r>
  </si>
  <si>
    <r>
      <rPr>
        <sz val="10"/>
        <color rgb="FF17332B"/>
        <rFont val="Noto Sans CJK SC"/>
        <family val="2"/>
      </rPr>
      <t xml:space="preserve">常用針劑 </t>
    </r>
    <r>
      <rPr>
        <sz val="10"/>
        <color rgb="FF17332B"/>
        <rFont val="Arial"/>
        <family val="0"/>
        <charset val="1"/>
      </rPr>
      <t xml:space="preserve">1ml</t>
    </r>
    <r>
      <rPr>
        <sz val="10"/>
        <color rgb="FF17332B"/>
        <rFont val="Noto Sans CJK SC"/>
        <family val="2"/>
      </rPr>
      <t xml:space="preserve">（範例）</t>
    </r>
  </si>
  <si>
    <t xml:space="preserve">藥櫃</t>
  </si>
  <si>
    <t xml:space="preserve">範例藥商</t>
  </si>
  <si>
    <t xml:space="preserve">效期追蹤</t>
  </si>
  <si>
    <t xml:space="preserve">同一品項不同批號請分開記錄。剩餘天數以今天日期計算。</t>
  </si>
  <si>
    <t xml:space="preserve">批號</t>
  </si>
  <si>
    <t xml:space="preserve">效期</t>
  </si>
  <si>
    <t xml:space="preserve">數量</t>
  </si>
  <si>
    <t xml:space="preserve">剩餘天數</t>
  </si>
  <si>
    <t xml:space="preserve">LT2408</t>
  </si>
  <si>
    <t xml:space="preserve">IN2511</t>
  </si>
  <si>
    <t xml:space="preserve">盤點紀錄</t>
  </si>
  <si>
    <t xml:space="preserve">品名從下拉選單選（來自「品項與安全庫存」），帳上數量自動帶出。</t>
  </si>
  <si>
    <t xml:space="preserve">盤點日期</t>
  </si>
  <si>
    <t xml:space="preserve">帳上數量</t>
  </si>
  <si>
    <t xml:space="preserve">實盤數量</t>
  </si>
  <si>
    <t xml:space="preserve">差異</t>
  </si>
  <si>
    <t xml:space="preserve">差異原因</t>
  </si>
  <si>
    <t xml:space="preserve">盤點人</t>
  </si>
  <si>
    <t xml:space="preserve">領用未登記</t>
  </si>
  <si>
    <t xml:space="preserve">（範例）</t>
  </si>
  <si>
    <r>
      <rPr>
        <b val="true"/>
        <sz val="15"/>
        <color rgb="FFFFFFFF"/>
        <rFont val="Noto Sans CJK SC"/>
        <family val="2"/>
      </rPr>
      <t xml:space="preserve">把時間還給自己，診所的瑣事交給 </t>
    </r>
    <r>
      <rPr>
        <b val="true"/>
        <sz val="15"/>
        <color rgb="FFFFFFFF"/>
        <rFont val="Arial"/>
        <family val="0"/>
        <charset val="1"/>
      </rPr>
      <t xml:space="preserve">Oli</t>
    </r>
    <r>
      <rPr>
        <b val="true"/>
        <sz val="15"/>
        <color rgb="FFFFFFFF"/>
        <rFont val="Noto Sans CJK SC"/>
        <family val="2"/>
      </rPr>
      <t xml:space="preserve">。</t>
    </r>
  </si>
  <si>
    <t xml:space="preserve">項目</t>
  </si>
  <si>
    <t xml:space="preserve">說明</t>
  </si>
  <si>
    <t xml:space="preserve">連結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</si>
  <si>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考勤管理系統</t>
    </r>
  </si>
  <si>
    <r>
      <rPr>
        <sz val="10"/>
        <color rgb="FF17332B"/>
        <rFont val="Noto Sans CJK SC"/>
        <family val="2"/>
      </rPr>
      <t xml:space="preserve">排班、手機 </t>
    </r>
    <r>
      <rPr>
        <sz val="10"/>
        <color rgb="FF17332B"/>
        <rFont val="Arial"/>
        <family val="0"/>
        <charset val="1"/>
      </rPr>
      <t xml:space="preserve">QR </t>
    </r>
    <r>
      <rPr>
        <sz val="10"/>
        <color rgb="FF17332B"/>
        <rFont val="Noto Sans CJK SC"/>
        <family val="2"/>
      </rPr>
      <t xml:space="preserve">打卡、請假加班、薪資試算、特休餘額自動計算</t>
    </r>
  </si>
  <si>
    <t xml:space="preserve">https://olimedi.com/attendance.html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</si>
  <si>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庫存管理系統</t>
    </r>
  </si>
  <si>
    <t xml:space="preserve">掃碼入庫、快缺貨快過期提醒、採購建議、植入物批號追溯</t>
  </si>
  <si>
    <t xml:space="preserve">https://olimedi.com/materials.html</t>
  </si>
  <si>
    <t xml:space="preserve">診所管理專欄</t>
  </si>
  <si>
    <t xml:space="preserve">排班、加班費、特休、盤點等實用整理</t>
  </si>
  <si>
    <t xml:space="preserve">https://olimedi.com/blog/</t>
  </si>
  <si>
    <r>
      <rPr>
        <b val="true"/>
        <sz val="10"/>
        <color rgb="FF17332B"/>
        <rFont val="Noto Sans CJK SC"/>
        <family val="2"/>
      </rPr>
      <t xml:space="preserve">問 </t>
    </r>
    <r>
      <rPr>
        <b val="true"/>
        <sz val="10"/>
        <color rgb="FF17332B"/>
        <rFont val="Arial"/>
        <family val="0"/>
        <charset val="1"/>
      </rPr>
      <t xml:space="preserve">Oliver</t>
    </r>
    <r>
      <rPr>
        <b val="true"/>
        <sz val="10"/>
        <color rgb="FF17332B"/>
        <rFont val="Noto Sans CJK SC"/>
        <family val="2"/>
      </rPr>
      <t xml:space="preserve">（</t>
    </r>
    <r>
      <rPr>
        <b val="true"/>
        <sz val="10"/>
        <color rgb="FF17332B"/>
        <rFont val="Arial"/>
        <family val="0"/>
        <charset val="1"/>
      </rPr>
      <t xml:space="preserve">LINE</t>
    </r>
    <r>
      <rPr>
        <b val="true"/>
        <sz val="10"/>
        <color rgb="FF17332B"/>
        <rFont val="Noto Sans CJK SC"/>
        <family val="2"/>
      </rPr>
      <t xml:space="preserve">）</t>
    </r>
  </si>
  <si>
    <r>
      <rPr>
        <sz val="10"/>
        <color rgb="FF17332B"/>
        <rFont val="Noto Sans CJK SC"/>
        <family val="2"/>
      </rPr>
      <t xml:space="preserve">加入 </t>
    </r>
    <r>
      <rPr>
        <sz val="10"/>
        <color rgb="FF17332B"/>
        <rFont val="Arial"/>
        <family val="0"/>
        <charset val="1"/>
      </rPr>
      <t xml:space="preserve">@336appfx</t>
    </r>
    <r>
      <rPr>
        <sz val="10"/>
        <color rgb="FF17332B"/>
        <rFont val="Noto Sans CJK SC"/>
        <family val="2"/>
      </rPr>
      <t xml:space="preserve">，預約約 </t>
    </r>
    <r>
      <rPr>
        <sz val="10"/>
        <color rgb="FF17332B"/>
        <rFont val="Arial"/>
        <family val="0"/>
        <charset val="1"/>
      </rPr>
      <t xml:space="preserve">20 </t>
    </r>
    <r>
      <rPr>
        <sz val="10"/>
        <color rgb="FF17332B"/>
        <rFont val="Noto Sans CJK SC"/>
        <family val="2"/>
      </rPr>
      <t xml:space="preserve">分鐘免費線上展示</t>
    </r>
  </si>
  <si>
    <t xml:space="preserve">https://line.me/R/ti/p/@336appfx</t>
  </si>
  <si>
    <r>
      <rPr>
        <sz val="9"/>
        <color rgb="FF4A5F57"/>
        <rFont val="Arial"/>
        <family val="0"/>
        <charset val="1"/>
      </rPr>
      <t xml:space="preserve">© 2026 Olimedi </t>
    </r>
    <r>
      <rPr>
        <sz val="9"/>
        <color rgb="FF4A5F57"/>
        <rFont val="Noto Sans CJK SC"/>
        <family val="2"/>
      </rPr>
      <t xml:space="preserve">奧里醫療資訊。本範本可免費使用於醫療院所內部管理，請勿轉售。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</si>
</sst>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"/>
    <numFmt numFmtId="168" formatCode="0%"/>
    <numFmt numFmtId="169" formatCode="yyyy\-mm\-dd"/>
    <numFmt numFmtId="170" formatCode="\+0;\-0;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b val="true"/>
      <sz val="13"/>
      <color rgb="FF2E7D5B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name val="Noto Sans CJK SC"/>
      <family val="2"/>
    </font>
    <font>
      <i val="true"/>
      <sz val="9"/>
      <color rgb="FF4A5F57"/>
      <name val="Noto Sans CJK SC"/>
      <family val="2"/>
    </font>
    <font>
      <b val="true"/>
      <u val="single"/>
      <sz val="11"/>
      <color rgb="FF2E7D5B"/>
      <name val="Noto Sans CJK SC"/>
      <family val="2"/>
    </font>
    <font>
      <u val="single"/>
      <sz val="10"/>
      <color rgb="FF2E7D5B"/>
      <name val="Noto Sans CJK SC"/>
      <family val="2"/>
    </font>
    <font>
      <sz val="10"/>
      <color rgb="FF4A5F57"/>
      <name val="Noto Sans CJK SC"/>
      <family val="2"/>
    </font>
    <font>
      <sz val="10"/>
      <color rgb="FF4A5F57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17332B"/>
      <name val="Noto Sans CJK SC"/>
      <family val="2"/>
    </font>
    <font>
      <sz val="10"/>
      <color rgb="FF17332B"/>
      <name val="Arial"/>
      <family val="0"/>
      <charset val="1"/>
    </font>
    <font>
      <b val="true"/>
      <sz val="10"/>
      <color rgb="FF17332B"/>
      <name val="Arial"/>
      <family val="0"/>
      <charset val="1"/>
    </font>
    <font>
      <sz val="10"/>
      <name val="Arial"/>
      <family val="2"/>
    </font>
    <font>
      <b val="true"/>
      <sz val="10"/>
      <color rgb="FF17332B"/>
      <name val="Noto Sans CJK SC"/>
      <family val="2"/>
    </font>
    <font>
      <u val="single"/>
      <sz val="10"/>
      <color rgb="FF2E7D5B"/>
      <name val="Arial"/>
      <family val="0"/>
      <charset val="1"/>
    </font>
    <font>
      <sz val="9"/>
      <color rgb="FF4A5F57"/>
      <name val="Arial"/>
      <family val="0"/>
      <charset val="1"/>
    </font>
    <font>
      <sz val="9"/>
      <color rgb="FF4A5F57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E7D5B"/>
        <bgColor rgb="FF4A5F57"/>
      </patternFill>
    </fill>
    <fill>
      <patternFill patternType="solid">
        <fgColor rgb="FFFFF4C2"/>
        <bgColor rgb="FFFCEB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9"/>
      </left>
      <right style="thin">
        <color rgb="FFD5DED9"/>
      </right>
      <top style="thin">
        <color rgb="FFD5DED9"/>
      </top>
      <bottom style="thin">
        <color rgb="FFD5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A33B1F"/>
      </font>
      <fill>
        <patternFill>
          <bgColor rgb="FFF6D3C8"/>
        </patternFill>
      </fill>
    </dxf>
    <dxf>
      <font>
        <name val="Arial"/>
        <charset val="1"/>
        <family val="0"/>
        <b val="1"/>
        <color rgb="FF2E7D5B"/>
      </font>
      <fill>
        <patternFill>
          <bgColor rgb="FFE1EFE6"/>
        </patternFill>
      </fill>
    </dxf>
    <dxf>
      <font>
        <name val="Arial"/>
        <charset val="1"/>
        <family val="0"/>
        <b val="1"/>
        <color rgb="FFB5701A"/>
      </font>
      <fill>
        <patternFill>
          <bgColor rgb="FFFCEBD2"/>
        </patternFill>
      </fill>
    </dxf>
    <dxf>
      <font>
        <name val="Arial"/>
        <charset val="1"/>
        <family val="0"/>
        <b val="1"/>
        <color rgb="FF8A6D1E"/>
      </font>
      <fill>
        <patternFill>
          <bgColor rgb="FFFFF8E1"/>
        </patternFill>
      </fill>
    </dxf>
    <dxf>
      <font>
        <name val="Arial"/>
        <charset val="1"/>
        <family val="0"/>
        <b val="1"/>
        <color rgb="FFA33B1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E"/>
      <rgbColor rgb="FF800080"/>
      <rgbColor rgb="FF008080"/>
      <rgbColor rgb="FFC0C0C0"/>
      <rgbColor rgb="FF808080"/>
      <rgbColor rgb="FF9999FF"/>
      <rgbColor rgb="FF993366"/>
      <rgbColor rgb="FFFFF8E1"/>
      <rgbColor rgb="FFE1EFE6"/>
      <rgbColor rgb="FF660066"/>
      <rgbColor rgb="FFFF8080"/>
      <rgbColor rgb="FF0066CC"/>
      <rgbColor rgb="FFD5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BD2"/>
      <rgbColor rgb="FFFFF4C2"/>
      <rgbColor rgb="FF99CCFF"/>
      <rgbColor rgb="FFFF99CC"/>
      <rgbColor rgb="FFCC99FF"/>
      <rgbColor rgb="FFF6D3C8"/>
      <rgbColor rgb="FF3366FF"/>
      <rgbColor rgb="FF33CCCC"/>
      <rgbColor rgb="FF99CC00"/>
      <rgbColor rgb="FFFFCC00"/>
      <rgbColor rgb="FFFF9900"/>
      <rgbColor rgb="FFB5701A"/>
      <rgbColor rgb="FF4A5F57"/>
      <rgbColor rgb="FF969696"/>
      <rgbColor rgb="FF003366"/>
      <rgbColor rgb="FF2E7D5B"/>
      <rgbColor rgb="FF003300"/>
      <rgbColor rgb="FF333300"/>
      <rgbColor rgb="FFA33B1F"/>
      <rgbColor rgb="FF993366"/>
      <rgbColor rgb="FF333399"/>
      <rgbColor rgb="FF173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e.me/R/ti/p/@336appfx" TargetMode="External"/><Relationship Id="rId2" Type="http://schemas.openxmlformats.org/officeDocument/2006/relationships/hyperlink" Target="https://olimedi.com/blog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olimedi.com/attendance.html" TargetMode="External"/><Relationship Id="rId2" Type="http://schemas.openxmlformats.org/officeDocument/2006/relationships/hyperlink" Target="https://olimedi.com/materials.html" TargetMode="External"/><Relationship Id="rId3" Type="http://schemas.openxmlformats.org/officeDocument/2006/relationships/hyperlink" Target="https://olimedi.com/blog/" TargetMode="External"/><Relationship Id="rId4" Type="http://schemas.openxmlformats.org/officeDocument/2006/relationships/hyperlink" Target="https://line.me/R/ti/p/@336appf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6.15" hidden="false" customHeight="false" outlineLevel="0" collapsed="false">
      <c r="A3" s="2" t="s">
        <v>1</v>
      </c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3.7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33.7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33.7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</row>
    <row r="10" customFormat="false" ht="16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  <c r="B11" s="5" t="s">
        <v>9</v>
      </c>
      <c r="C11" s="5"/>
      <c r="D11" s="5"/>
      <c r="E11" s="5"/>
      <c r="F11" s="5"/>
    </row>
    <row r="12" customFormat="false" ht="15" hidden="false" customHeight="false" outlineLevel="0" collapsed="false">
      <c r="A12" s="6" t="s">
        <v>10</v>
      </c>
      <c r="B12" s="5" t="s">
        <v>11</v>
      </c>
      <c r="C12" s="5"/>
      <c r="D12" s="5"/>
      <c r="E12" s="5"/>
      <c r="F12" s="5"/>
    </row>
    <row r="14" customFormat="false" ht="45.75" hidden="false" customHeight="true" outlineLevel="0" collapsed="false">
      <c r="A14" s="7" t="s">
        <v>12</v>
      </c>
      <c r="B14" s="7"/>
      <c r="C14" s="7"/>
      <c r="D14" s="7"/>
      <c r="E14" s="7"/>
      <c r="F14" s="7"/>
    </row>
    <row r="16" customFormat="false" ht="17.15" hidden="false" customHeight="false" outlineLevel="0" collapsed="false">
      <c r="A16" s="8" t="s">
        <v>13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9" t="s">
        <v>14</v>
      </c>
      <c r="B17" s="9"/>
      <c r="C17" s="9"/>
      <c r="D17" s="9"/>
      <c r="E17" s="9"/>
      <c r="F17" s="9"/>
    </row>
  </sheetData>
  <mergeCells count="11">
    <mergeCell ref="A1:F1"/>
    <mergeCell ref="A4:F4"/>
    <mergeCell ref="A5:F5"/>
    <mergeCell ref="A6:F6"/>
    <mergeCell ref="A7:F7"/>
    <mergeCell ref="A8:F8"/>
    <mergeCell ref="B11:F11"/>
    <mergeCell ref="B12:F12"/>
    <mergeCell ref="A14:F14"/>
    <mergeCell ref="A16:F16"/>
    <mergeCell ref="A17:F17"/>
  </mergeCells>
  <hyperlinks>
    <hyperlink ref="A16" r:id="rId1" display="用 Excel 管得很累？Oli 系統可以自動完成這些計算 → 加 LINE 問 Oliver（@336appfx），預約免費線上展示"/>
    <hyperlink ref="A17" r:id="rId2" display="更多診所管理實用文章：olimedi.com/b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11" min="8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1"/>
  </cols>
  <sheetData>
    <row r="1" customFormat="false" ht="33.75" hidden="false" customHeight="true" outlineLevel="0" collapsed="false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30" hidden="false" customHeight="true" outlineLevel="0" collapsed="false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customFormat="false" ht="39.75" hidden="false" customHeight="true" outlineLevel="0" collapsed="false">
      <c r="A4" s="12" t="s">
        <v>17</v>
      </c>
      <c r="B4" s="12" t="s">
        <v>18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23</v>
      </c>
      <c r="H4" s="12" t="s">
        <v>24</v>
      </c>
      <c r="I4" s="12" t="s">
        <v>25</v>
      </c>
      <c r="J4" s="12" t="s">
        <v>26</v>
      </c>
      <c r="K4" s="12" t="s">
        <v>27</v>
      </c>
      <c r="L4" s="12" t="s">
        <v>28</v>
      </c>
      <c r="M4" s="12" t="s">
        <v>29</v>
      </c>
      <c r="N4" s="12" t="s">
        <v>30</v>
      </c>
      <c r="O4" s="13" t="s">
        <v>31</v>
      </c>
      <c r="P4" s="12" t="s">
        <v>32</v>
      </c>
    </row>
    <row r="5" customFormat="false" ht="15" hidden="false" customHeight="false" outlineLevel="0" collapsed="false">
      <c r="A5" s="14" t="s">
        <v>33</v>
      </c>
      <c r="B5" s="14" t="s">
        <v>34</v>
      </c>
      <c r="C5" s="15" t="s">
        <v>35</v>
      </c>
      <c r="D5" s="14" t="s">
        <v>36</v>
      </c>
      <c r="E5" s="16" t="n">
        <v>8000</v>
      </c>
      <c r="F5" s="17" t="n">
        <v>0.3</v>
      </c>
      <c r="G5" s="18" t="n">
        <v>7</v>
      </c>
      <c r="H5" s="18" t="n">
        <v>7</v>
      </c>
      <c r="I5" s="19" t="n">
        <f aca="false">IF(OR(F5="",G5=""),"",ROUNDUP(F5*(G5+N(H5)),0))</f>
        <v>5</v>
      </c>
      <c r="J5" s="18" t="n">
        <v>4</v>
      </c>
      <c r="K5" s="20" t="str">
        <f aca="false">IF(OR(I5="",J5=""),"",IF(J5&lt;=I5,"需叫貨","正常"))</f>
        <v>需叫貨</v>
      </c>
      <c r="L5" s="19" t="n">
        <f aca="false">IF(K5="需叫貨",MAX(0,ROUNDUP(I5+F5*30-J5,0)),"")</f>
        <v>10</v>
      </c>
      <c r="M5" s="21" t="n">
        <f aca="false">IF(OR(E5="",F5=""),"",E5*F5*365)</f>
        <v>876000</v>
      </c>
      <c r="N5" s="22" t="n">
        <f aca="false">IF(M5="","",SUMIF($M$5:$M$104,"&gt;="&amp;M5)/SUM($M$5:$M$104))</f>
        <v>0.73959938366718</v>
      </c>
      <c r="O5" s="23" t="str">
        <f aca="false">IF(N5="","",IF(OR(N5&lt;=0.8,M5=MAX($M$5:$M$104)),"A",IF(N5&lt;=0.95,"B","C")))</f>
        <v>A</v>
      </c>
      <c r="P5" s="20" t="str">
        <f aca="false">IF(O5="A","每週",IF(O5="B","每月",IF(O5="C","每季","")))</f>
        <v>每週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5" t="s">
        <v>39</v>
      </c>
      <c r="D6" s="14" t="s">
        <v>40</v>
      </c>
      <c r="E6" s="16" t="n">
        <v>250</v>
      </c>
      <c r="F6" s="17" t="n">
        <v>1.5</v>
      </c>
      <c r="G6" s="18" t="n">
        <v>3</v>
      </c>
      <c r="H6" s="18" t="n">
        <v>3</v>
      </c>
      <c r="I6" s="19" t="n">
        <f aca="false">IF(OR(F6="",G6=""),"",ROUNDUP(F6*(G6+N(H6)),0))</f>
        <v>9</v>
      </c>
      <c r="J6" s="18" t="n">
        <v>6</v>
      </c>
      <c r="K6" s="20" t="str">
        <f aca="false">IF(OR(I6="",J6=""),"",IF(J6&lt;=I6,"需叫貨","正常"))</f>
        <v>需叫貨</v>
      </c>
      <c r="L6" s="19" t="n">
        <f aca="false">IF(K6="需叫貨",MAX(0,ROUNDUP(I6+F6*30-J6,0)),"")</f>
        <v>48</v>
      </c>
      <c r="M6" s="21" t="n">
        <f aca="false">IF(OR(E6="",F6=""),"",E6*F6*365)</f>
        <v>136875</v>
      </c>
      <c r="N6" s="22" t="n">
        <f aca="false">IF(M6="","",SUMIF($M$5:$M$104,"&gt;="&amp;M6)/SUM($M$5:$M$104))</f>
        <v>0.855161787365177</v>
      </c>
      <c r="O6" s="23" t="str">
        <f aca="false">IF(N6="","",IF(OR(N6&lt;=0.8,M6=MAX($M$5:$M$104)),"A",IF(N6&lt;=0.95,"B","C")))</f>
        <v>B</v>
      </c>
      <c r="P6" s="20" t="str">
        <f aca="false">IF(O6="A","每週",IF(O6="B","每月",IF(O6="C","每季","")))</f>
        <v>每月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5" t="s">
        <v>43</v>
      </c>
      <c r="D7" s="14" t="s">
        <v>40</v>
      </c>
      <c r="E7" s="16" t="n">
        <v>60</v>
      </c>
      <c r="F7" s="17" t="n">
        <v>2</v>
      </c>
      <c r="G7" s="18" t="n">
        <v>3</v>
      </c>
      <c r="H7" s="18" t="n">
        <v>3</v>
      </c>
      <c r="I7" s="19" t="n">
        <f aca="false">IF(OR(F7="",G7=""),"",ROUNDUP(F7*(G7+N(H7)),0))</f>
        <v>12</v>
      </c>
      <c r="J7" s="18" t="n">
        <v>20</v>
      </c>
      <c r="K7" s="20" t="str">
        <f aca="false">IF(OR(I7="",J7=""),"",IF(J7&lt;=I7,"需叫貨","正常"))</f>
        <v>正常</v>
      </c>
      <c r="L7" s="19" t="str">
        <f aca="false">IF(K7="需叫貨",MAX(0,ROUNDUP(I7+F7*30-J7,0)),"")</f>
        <v/>
      </c>
      <c r="M7" s="21" t="n">
        <f aca="false">IF(OR(E7="",F7=""),"",E7*F7*365)</f>
        <v>43800</v>
      </c>
      <c r="N7" s="22" t="n">
        <f aca="false">IF(M7="","",SUMIF($M$5:$M$104,"&gt;="&amp;M7)/SUM($M$5:$M$104))</f>
        <v>1</v>
      </c>
      <c r="O7" s="23" t="str">
        <f aca="false">IF(N7="","",IF(OR(N7&lt;=0.8,M7=MAX($M$5:$M$104)),"A",IF(N7&lt;=0.95,"B","C")))</f>
        <v>C</v>
      </c>
      <c r="P7" s="20" t="str">
        <f aca="false">IF(O7="A","每週",IF(O7="B","每月",IF(O7="C","每季","")))</f>
        <v>每季</v>
      </c>
    </row>
    <row r="8" customFormat="false" ht="15" hidden="false" customHeight="false" outlineLevel="0" collapsed="false">
      <c r="A8" s="14" t="s">
        <v>44</v>
      </c>
      <c r="B8" s="14" t="s">
        <v>34</v>
      </c>
      <c r="C8" s="14" t="s">
        <v>45</v>
      </c>
      <c r="D8" s="14" t="s">
        <v>46</v>
      </c>
      <c r="E8" s="16" t="n">
        <v>35</v>
      </c>
      <c r="F8" s="17" t="n">
        <v>10</v>
      </c>
      <c r="G8" s="18" t="n">
        <v>5</v>
      </c>
      <c r="H8" s="18" t="n">
        <v>5</v>
      </c>
      <c r="I8" s="19" t="n">
        <f aca="false">IF(OR(F8="",G8=""),"",ROUNDUP(F8*(G8+N(H8)),0))</f>
        <v>100</v>
      </c>
      <c r="J8" s="18" t="n">
        <v>150</v>
      </c>
      <c r="K8" s="20" t="str">
        <f aca="false">IF(OR(I8="",J8=""),"",IF(J8&lt;=I8,"需叫貨","正常"))</f>
        <v>正常</v>
      </c>
      <c r="L8" s="19" t="str">
        <f aca="false">IF(K8="需叫貨",MAX(0,ROUNDUP(I8+F8*30-J8,0)),"")</f>
        <v/>
      </c>
      <c r="M8" s="21" t="n">
        <f aca="false">IF(OR(E8="",F8=""),"",E8*F8*365)</f>
        <v>127750</v>
      </c>
      <c r="N8" s="22" t="n">
        <f aca="false">IF(M8="","",SUMIF($M$5:$M$104,"&gt;="&amp;M8)/SUM($M$5:$M$104))</f>
        <v>0.963020030816641</v>
      </c>
      <c r="O8" s="23" t="str">
        <f aca="false">IF(N8="","",IF(OR(N8&lt;=0.8,M8=MAX($M$5:$M$104)),"A",IF(N8&lt;=0.95,"B","C")))</f>
        <v>C</v>
      </c>
      <c r="P8" s="20" t="str">
        <f aca="false">IF(O8="A","每週",IF(O8="B","每月",IF(O8="C","每季","")))</f>
        <v>每季</v>
      </c>
    </row>
    <row r="9" customFormat="false" ht="15" hidden="false" customHeight="false" outlineLevel="0" collapsed="false">
      <c r="A9" s="14"/>
      <c r="B9" s="14"/>
      <c r="C9" s="14"/>
      <c r="D9" s="14"/>
      <c r="E9" s="16"/>
      <c r="F9" s="17"/>
      <c r="G9" s="18"/>
      <c r="H9" s="18"/>
      <c r="I9" s="19" t="str">
        <f aca="false">IF(OR(F9="",G9=""),"",ROUNDUP(F9*(G9+N(H9)),0))</f>
        <v/>
      </c>
      <c r="J9" s="18"/>
      <c r="K9" s="20" t="str">
        <f aca="false">IF(OR(I9="",J9=""),"",IF(J9&lt;=I9,"需叫貨","正常"))</f>
        <v/>
      </c>
      <c r="L9" s="19" t="str">
        <f aca="false">IF(K9="需叫貨",MAX(0,ROUNDUP(I9+F9*30-J9,0)),"")</f>
        <v/>
      </c>
      <c r="M9" s="21" t="str">
        <f aca="false">IF(OR(E9="",F9=""),"",E9*F9*365)</f>
        <v/>
      </c>
      <c r="N9" s="22" t="str">
        <f aca="false">IF(M9="","",SUMIF($M$5:$M$104,"&gt;="&amp;M9)/SUM($M$5:$M$104))</f>
        <v/>
      </c>
      <c r="O9" s="23" t="str">
        <f aca="false">IF(N9="","",IF(OR(N9&lt;=0.8,M9=MAX($M$5:$M$104)),"A",IF(N9&lt;=0.95,"B","C")))</f>
        <v/>
      </c>
      <c r="P9" s="20" t="str">
        <f aca="false">IF(O9="A","每週",IF(O9="B","每月",IF(O9="C","每季","")))</f>
        <v/>
      </c>
    </row>
    <row r="10" customFormat="false" ht="15" hidden="false" customHeight="false" outlineLevel="0" collapsed="false">
      <c r="A10" s="14"/>
      <c r="B10" s="14"/>
      <c r="C10" s="14"/>
      <c r="D10" s="14"/>
      <c r="E10" s="16"/>
      <c r="F10" s="17"/>
      <c r="G10" s="18"/>
      <c r="H10" s="18"/>
      <c r="I10" s="19" t="str">
        <f aca="false">IF(OR(F10="",G10=""),"",ROUNDUP(F10*(G10+N(H10)),0))</f>
        <v/>
      </c>
      <c r="J10" s="18"/>
      <c r="K10" s="20" t="str">
        <f aca="false">IF(OR(I10="",J10=""),"",IF(J10&lt;=I10,"需叫貨","正常"))</f>
        <v/>
      </c>
      <c r="L10" s="19" t="str">
        <f aca="false">IF(K10="需叫貨",MAX(0,ROUNDUP(I10+F10*30-J10,0)),"")</f>
        <v/>
      </c>
      <c r="M10" s="21" t="str">
        <f aca="false">IF(OR(E10="",F10=""),"",E10*F10*365)</f>
        <v/>
      </c>
      <c r="N10" s="22" t="str">
        <f aca="false">IF(M10="","",SUMIF($M$5:$M$104,"&gt;="&amp;M10)/SUM($M$5:$M$104))</f>
        <v/>
      </c>
      <c r="O10" s="23" t="str">
        <f aca="false">IF(N10="","",IF(OR(N10&lt;=0.8,M10=MAX($M$5:$M$104)),"A",IF(N10&lt;=0.95,"B","C")))</f>
        <v/>
      </c>
      <c r="P10" s="20" t="str">
        <f aca="false">IF(O10="A","每週",IF(O10="B","每月",IF(O10="C","每季","")))</f>
        <v/>
      </c>
    </row>
    <row r="11" customFormat="false" ht="15" hidden="false" customHeight="false" outlineLevel="0" collapsed="false">
      <c r="A11" s="14"/>
      <c r="B11" s="14"/>
      <c r="C11" s="14"/>
      <c r="D11" s="14"/>
      <c r="E11" s="16"/>
      <c r="F11" s="17"/>
      <c r="G11" s="18"/>
      <c r="H11" s="18"/>
      <c r="I11" s="19" t="str">
        <f aca="false">IF(OR(F11="",G11=""),"",ROUNDUP(F11*(G11+N(H11)),0))</f>
        <v/>
      </c>
      <c r="J11" s="18"/>
      <c r="K11" s="20" t="str">
        <f aca="false">IF(OR(I11="",J11=""),"",IF(J11&lt;=I11,"需叫貨","正常"))</f>
        <v/>
      </c>
      <c r="L11" s="19" t="str">
        <f aca="false">IF(K11="需叫貨",MAX(0,ROUNDUP(I11+F11*30-J11,0)),"")</f>
        <v/>
      </c>
      <c r="M11" s="21" t="str">
        <f aca="false">IF(OR(E11="",F11=""),"",E11*F11*365)</f>
        <v/>
      </c>
      <c r="N11" s="22" t="str">
        <f aca="false">IF(M11="","",SUMIF($M$5:$M$104,"&gt;="&amp;M11)/SUM($M$5:$M$104))</f>
        <v/>
      </c>
      <c r="O11" s="23" t="str">
        <f aca="false">IF(N11="","",IF(OR(N11&lt;=0.8,M11=MAX($M$5:$M$104)),"A",IF(N11&lt;=0.95,"B","C")))</f>
        <v/>
      </c>
      <c r="P11" s="20" t="str">
        <f aca="false">IF(O11="A","每週",IF(O11="B","每月",IF(O11="C","每季","")))</f>
        <v/>
      </c>
    </row>
    <row r="12" customFormat="false" ht="15" hidden="false" customHeight="false" outlineLevel="0" collapsed="false">
      <c r="A12" s="14"/>
      <c r="B12" s="14"/>
      <c r="C12" s="14"/>
      <c r="D12" s="14"/>
      <c r="E12" s="16"/>
      <c r="F12" s="17"/>
      <c r="G12" s="18"/>
      <c r="H12" s="18"/>
      <c r="I12" s="19" t="str">
        <f aca="false">IF(OR(F12="",G12=""),"",ROUNDUP(F12*(G12+N(H12)),0))</f>
        <v/>
      </c>
      <c r="J12" s="18"/>
      <c r="K12" s="20" t="str">
        <f aca="false">IF(OR(I12="",J12=""),"",IF(J12&lt;=I12,"需叫貨","正常"))</f>
        <v/>
      </c>
      <c r="L12" s="19" t="str">
        <f aca="false">IF(K12="需叫貨",MAX(0,ROUNDUP(I12+F12*30-J12,0)),"")</f>
        <v/>
      </c>
      <c r="M12" s="21" t="str">
        <f aca="false">IF(OR(E12="",F12=""),"",E12*F12*365)</f>
        <v/>
      </c>
      <c r="N12" s="22" t="str">
        <f aca="false">IF(M12="","",SUMIF($M$5:$M$104,"&gt;="&amp;M12)/SUM($M$5:$M$104))</f>
        <v/>
      </c>
      <c r="O12" s="23" t="str">
        <f aca="false">IF(N12="","",IF(OR(N12&lt;=0.8,M12=MAX($M$5:$M$104)),"A",IF(N12&lt;=0.95,"B","C")))</f>
        <v/>
      </c>
      <c r="P12" s="20" t="str">
        <f aca="false">IF(O12="A","每週",IF(O12="B","每月",IF(O12="C","每季","")))</f>
        <v/>
      </c>
    </row>
    <row r="13" customFormat="false" ht="15" hidden="false" customHeight="false" outlineLevel="0" collapsed="false">
      <c r="A13" s="14"/>
      <c r="B13" s="14"/>
      <c r="C13" s="14"/>
      <c r="D13" s="14"/>
      <c r="E13" s="16"/>
      <c r="F13" s="17"/>
      <c r="G13" s="18"/>
      <c r="H13" s="18"/>
      <c r="I13" s="19" t="str">
        <f aca="false">IF(OR(F13="",G13=""),"",ROUNDUP(F13*(G13+N(H13)),0))</f>
        <v/>
      </c>
      <c r="J13" s="18"/>
      <c r="K13" s="20" t="str">
        <f aca="false">IF(OR(I13="",J13=""),"",IF(J13&lt;=I13,"需叫貨","正常"))</f>
        <v/>
      </c>
      <c r="L13" s="19" t="str">
        <f aca="false">IF(K13="需叫貨",MAX(0,ROUNDUP(I13+F13*30-J13,0)),"")</f>
        <v/>
      </c>
      <c r="M13" s="21" t="str">
        <f aca="false">IF(OR(E13="",F13=""),"",E13*F13*365)</f>
        <v/>
      </c>
      <c r="N13" s="22" t="str">
        <f aca="false">IF(M13="","",SUMIF($M$5:$M$104,"&gt;="&amp;M13)/SUM($M$5:$M$104))</f>
        <v/>
      </c>
      <c r="O13" s="23" t="str">
        <f aca="false">IF(N13="","",IF(OR(N13&lt;=0.8,M13=MAX($M$5:$M$104)),"A",IF(N13&lt;=0.95,"B","C")))</f>
        <v/>
      </c>
      <c r="P13" s="20" t="str">
        <f aca="false">IF(O13="A","每週",IF(O13="B","每月",IF(O13="C","每季","")))</f>
        <v/>
      </c>
    </row>
    <row r="14" customFormat="false" ht="15" hidden="false" customHeight="false" outlineLevel="0" collapsed="false">
      <c r="A14" s="14"/>
      <c r="B14" s="14"/>
      <c r="C14" s="14"/>
      <c r="D14" s="14"/>
      <c r="E14" s="16"/>
      <c r="F14" s="17"/>
      <c r="G14" s="18"/>
      <c r="H14" s="18"/>
      <c r="I14" s="19" t="str">
        <f aca="false">IF(OR(F14="",G14=""),"",ROUNDUP(F14*(G14+N(H14)),0))</f>
        <v/>
      </c>
      <c r="J14" s="18"/>
      <c r="K14" s="20" t="str">
        <f aca="false">IF(OR(I14="",J14=""),"",IF(J14&lt;=I14,"需叫貨","正常"))</f>
        <v/>
      </c>
      <c r="L14" s="19" t="str">
        <f aca="false">IF(K14="需叫貨",MAX(0,ROUNDUP(I14+F14*30-J14,0)),"")</f>
        <v/>
      </c>
      <c r="M14" s="21" t="str">
        <f aca="false">IF(OR(E14="",F14=""),"",E14*F14*365)</f>
        <v/>
      </c>
      <c r="N14" s="22" t="str">
        <f aca="false">IF(M14="","",SUMIF($M$5:$M$104,"&gt;="&amp;M14)/SUM($M$5:$M$104))</f>
        <v/>
      </c>
      <c r="O14" s="23" t="str">
        <f aca="false">IF(N14="","",IF(OR(N14&lt;=0.8,M14=MAX($M$5:$M$104)),"A",IF(N14&lt;=0.95,"B","C")))</f>
        <v/>
      </c>
      <c r="P14" s="20" t="str">
        <f aca="false">IF(O14="A","每週",IF(O14="B","每月",IF(O14="C","每季","")))</f>
        <v/>
      </c>
    </row>
    <row r="15" customFormat="false" ht="15" hidden="false" customHeight="false" outlineLevel="0" collapsed="false">
      <c r="A15" s="14"/>
      <c r="B15" s="14"/>
      <c r="C15" s="14"/>
      <c r="D15" s="14"/>
      <c r="E15" s="16"/>
      <c r="F15" s="17"/>
      <c r="G15" s="18"/>
      <c r="H15" s="18"/>
      <c r="I15" s="19" t="str">
        <f aca="false">IF(OR(F15="",G15=""),"",ROUNDUP(F15*(G15+N(H15)),0))</f>
        <v/>
      </c>
      <c r="J15" s="18"/>
      <c r="K15" s="20" t="str">
        <f aca="false">IF(OR(I15="",J15=""),"",IF(J15&lt;=I15,"需叫貨","正常"))</f>
        <v/>
      </c>
      <c r="L15" s="19" t="str">
        <f aca="false">IF(K15="需叫貨",MAX(0,ROUNDUP(I15+F15*30-J15,0)),"")</f>
        <v/>
      </c>
      <c r="M15" s="21" t="str">
        <f aca="false">IF(OR(E15="",F15=""),"",E15*F15*365)</f>
        <v/>
      </c>
      <c r="N15" s="22" t="str">
        <f aca="false">IF(M15="","",SUMIF($M$5:$M$104,"&gt;="&amp;M15)/SUM($M$5:$M$104))</f>
        <v/>
      </c>
      <c r="O15" s="23" t="str">
        <f aca="false">IF(N15="","",IF(OR(N15&lt;=0.8,M15=MAX($M$5:$M$104)),"A",IF(N15&lt;=0.95,"B","C")))</f>
        <v/>
      </c>
      <c r="P15" s="20" t="str">
        <f aca="false">IF(O15="A","每週",IF(O15="B","每月",IF(O15="C","每季","")))</f>
        <v/>
      </c>
    </row>
    <row r="16" customFormat="false" ht="15" hidden="false" customHeight="false" outlineLevel="0" collapsed="false">
      <c r="A16" s="14"/>
      <c r="B16" s="14"/>
      <c r="C16" s="14"/>
      <c r="D16" s="14"/>
      <c r="E16" s="16"/>
      <c r="F16" s="17"/>
      <c r="G16" s="18"/>
      <c r="H16" s="18"/>
      <c r="I16" s="19" t="str">
        <f aca="false">IF(OR(F16="",G16=""),"",ROUNDUP(F16*(G16+N(H16)),0))</f>
        <v/>
      </c>
      <c r="J16" s="18"/>
      <c r="K16" s="20" t="str">
        <f aca="false">IF(OR(I16="",J16=""),"",IF(J16&lt;=I16,"需叫貨","正常"))</f>
        <v/>
      </c>
      <c r="L16" s="19" t="str">
        <f aca="false">IF(K16="需叫貨",MAX(0,ROUNDUP(I16+F16*30-J16,0)),"")</f>
        <v/>
      </c>
      <c r="M16" s="21" t="str">
        <f aca="false">IF(OR(E16="",F16=""),"",E16*F16*365)</f>
        <v/>
      </c>
      <c r="N16" s="22" t="str">
        <f aca="false">IF(M16="","",SUMIF($M$5:$M$104,"&gt;="&amp;M16)/SUM($M$5:$M$104))</f>
        <v/>
      </c>
      <c r="O16" s="23" t="str">
        <f aca="false">IF(N16="","",IF(OR(N16&lt;=0.8,M16=MAX($M$5:$M$104)),"A",IF(N16&lt;=0.95,"B","C")))</f>
        <v/>
      </c>
      <c r="P16" s="20" t="str">
        <f aca="false">IF(O16="A","每週",IF(O16="B","每月",IF(O16="C","每季","")))</f>
        <v/>
      </c>
    </row>
    <row r="17" customFormat="false" ht="15" hidden="false" customHeight="false" outlineLevel="0" collapsed="false">
      <c r="A17" s="14"/>
      <c r="B17" s="14"/>
      <c r="C17" s="14"/>
      <c r="D17" s="14"/>
      <c r="E17" s="16"/>
      <c r="F17" s="17"/>
      <c r="G17" s="18"/>
      <c r="H17" s="18"/>
      <c r="I17" s="19" t="str">
        <f aca="false">IF(OR(F17="",G17=""),"",ROUNDUP(F17*(G17+N(H17)),0))</f>
        <v/>
      </c>
      <c r="J17" s="18"/>
      <c r="K17" s="20" t="str">
        <f aca="false">IF(OR(I17="",J17=""),"",IF(J17&lt;=I17,"需叫貨","正常"))</f>
        <v/>
      </c>
      <c r="L17" s="19" t="str">
        <f aca="false">IF(K17="需叫貨",MAX(0,ROUNDUP(I17+F17*30-J17,0)),"")</f>
        <v/>
      </c>
      <c r="M17" s="21" t="str">
        <f aca="false">IF(OR(E17="",F17=""),"",E17*F17*365)</f>
        <v/>
      </c>
      <c r="N17" s="22" t="str">
        <f aca="false">IF(M17="","",SUMIF($M$5:$M$104,"&gt;="&amp;M17)/SUM($M$5:$M$104))</f>
        <v/>
      </c>
      <c r="O17" s="23" t="str">
        <f aca="false">IF(N17="","",IF(OR(N17&lt;=0.8,M17=MAX($M$5:$M$104)),"A",IF(N17&lt;=0.95,"B","C")))</f>
        <v/>
      </c>
      <c r="P17" s="20" t="str">
        <f aca="false">IF(O17="A","每週",IF(O17="B","每月",IF(O17="C","每季","")))</f>
        <v/>
      </c>
    </row>
    <row r="18" customFormat="false" ht="15" hidden="false" customHeight="false" outlineLevel="0" collapsed="false">
      <c r="A18" s="14"/>
      <c r="B18" s="14"/>
      <c r="C18" s="14"/>
      <c r="D18" s="14"/>
      <c r="E18" s="16"/>
      <c r="F18" s="17"/>
      <c r="G18" s="18"/>
      <c r="H18" s="18"/>
      <c r="I18" s="19" t="str">
        <f aca="false">IF(OR(F18="",G18=""),"",ROUNDUP(F18*(G18+N(H18)),0))</f>
        <v/>
      </c>
      <c r="J18" s="18"/>
      <c r="K18" s="20" t="str">
        <f aca="false">IF(OR(I18="",J18=""),"",IF(J18&lt;=I18,"需叫貨","正常"))</f>
        <v/>
      </c>
      <c r="L18" s="19" t="str">
        <f aca="false">IF(K18="需叫貨",MAX(0,ROUNDUP(I18+F18*30-J18,0)),"")</f>
        <v/>
      </c>
      <c r="M18" s="21" t="str">
        <f aca="false">IF(OR(E18="",F18=""),"",E18*F18*365)</f>
        <v/>
      </c>
      <c r="N18" s="22" t="str">
        <f aca="false">IF(M18="","",SUMIF($M$5:$M$104,"&gt;="&amp;M18)/SUM($M$5:$M$104))</f>
        <v/>
      </c>
      <c r="O18" s="23" t="str">
        <f aca="false">IF(N18="","",IF(OR(N18&lt;=0.8,M18=MAX($M$5:$M$104)),"A",IF(N18&lt;=0.95,"B","C")))</f>
        <v/>
      </c>
      <c r="P18" s="20" t="str">
        <f aca="false">IF(O18="A","每週",IF(O18="B","每月",IF(O18="C","每季","")))</f>
        <v/>
      </c>
    </row>
    <row r="19" customFormat="false" ht="15" hidden="false" customHeight="false" outlineLevel="0" collapsed="false">
      <c r="A19" s="14"/>
      <c r="B19" s="14"/>
      <c r="C19" s="14"/>
      <c r="D19" s="14"/>
      <c r="E19" s="16"/>
      <c r="F19" s="17"/>
      <c r="G19" s="18"/>
      <c r="H19" s="18"/>
      <c r="I19" s="19" t="str">
        <f aca="false">IF(OR(F19="",G19=""),"",ROUNDUP(F19*(G19+N(H19)),0))</f>
        <v/>
      </c>
      <c r="J19" s="18"/>
      <c r="K19" s="20" t="str">
        <f aca="false">IF(OR(I19="",J19=""),"",IF(J19&lt;=I19,"需叫貨","正常"))</f>
        <v/>
      </c>
      <c r="L19" s="19" t="str">
        <f aca="false">IF(K19="需叫貨",MAX(0,ROUNDUP(I19+F19*30-J19,0)),"")</f>
        <v/>
      </c>
      <c r="M19" s="21" t="str">
        <f aca="false">IF(OR(E19="",F19=""),"",E19*F19*365)</f>
        <v/>
      </c>
      <c r="N19" s="22" t="str">
        <f aca="false">IF(M19="","",SUMIF($M$5:$M$104,"&gt;="&amp;M19)/SUM($M$5:$M$104))</f>
        <v/>
      </c>
      <c r="O19" s="23" t="str">
        <f aca="false">IF(N19="","",IF(OR(N19&lt;=0.8,M19=MAX($M$5:$M$104)),"A",IF(N19&lt;=0.95,"B","C")))</f>
        <v/>
      </c>
      <c r="P19" s="20" t="str">
        <f aca="false">IF(O19="A","每週",IF(O19="B","每月",IF(O19="C","每季","")))</f>
        <v/>
      </c>
    </row>
    <row r="20" customFormat="false" ht="15" hidden="false" customHeight="false" outlineLevel="0" collapsed="false">
      <c r="A20" s="14"/>
      <c r="B20" s="14"/>
      <c r="C20" s="14"/>
      <c r="D20" s="14"/>
      <c r="E20" s="16"/>
      <c r="F20" s="17"/>
      <c r="G20" s="18"/>
      <c r="H20" s="18"/>
      <c r="I20" s="19" t="str">
        <f aca="false">IF(OR(F20="",G20=""),"",ROUNDUP(F20*(G20+N(H20)),0))</f>
        <v/>
      </c>
      <c r="J20" s="18"/>
      <c r="K20" s="20" t="str">
        <f aca="false">IF(OR(I20="",J20=""),"",IF(J20&lt;=I20,"需叫貨","正常"))</f>
        <v/>
      </c>
      <c r="L20" s="19" t="str">
        <f aca="false">IF(K20="需叫貨",MAX(0,ROUNDUP(I20+F20*30-J20,0)),"")</f>
        <v/>
      </c>
      <c r="M20" s="21" t="str">
        <f aca="false">IF(OR(E20="",F20=""),"",E20*F20*365)</f>
        <v/>
      </c>
      <c r="N20" s="22" t="str">
        <f aca="false">IF(M20="","",SUMIF($M$5:$M$104,"&gt;="&amp;M20)/SUM($M$5:$M$104))</f>
        <v/>
      </c>
      <c r="O20" s="23" t="str">
        <f aca="false">IF(N20="","",IF(OR(N20&lt;=0.8,M20=MAX($M$5:$M$104)),"A",IF(N20&lt;=0.95,"B","C")))</f>
        <v/>
      </c>
      <c r="P20" s="20" t="str">
        <f aca="false">IF(O20="A","每週",IF(O20="B","每月",IF(O20="C","每季","")))</f>
        <v/>
      </c>
    </row>
    <row r="21" customFormat="false" ht="15" hidden="false" customHeight="false" outlineLevel="0" collapsed="false">
      <c r="A21" s="14"/>
      <c r="B21" s="14"/>
      <c r="C21" s="14"/>
      <c r="D21" s="14"/>
      <c r="E21" s="16"/>
      <c r="F21" s="17"/>
      <c r="G21" s="18"/>
      <c r="H21" s="18"/>
      <c r="I21" s="19" t="str">
        <f aca="false">IF(OR(F21="",G21=""),"",ROUNDUP(F21*(G21+N(H21)),0))</f>
        <v/>
      </c>
      <c r="J21" s="18"/>
      <c r="K21" s="20" t="str">
        <f aca="false">IF(OR(I21="",J21=""),"",IF(J21&lt;=I21,"需叫貨","正常"))</f>
        <v/>
      </c>
      <c r="L21" s="19" t="str">
        <f aca="false">IF(K21="需叫貨",MAX(0,ROUNDUP(I21+F21*30-J21,0)),"")</f>
        <v/>
      </c>
      <c r="M21" s="21" t="str">
        <f aca="false">IF(OR(E21="",F21=""),"",E21*F21*365)</f>
        <v/>
      </c>
      <c r="N21" s="22" t="str">
        <f aca="false">IF(M21="","",SUMIF($M$5:$M$104,"&gt;="&amp;M21)/SUM($M$5:$M$104))</f>
        <v/>
      </c>
      <c r="O21" s="23" t="str">
        <f aca="false">IF(N21="","",IF(OR(N21&lt;=0.8,M21=MAX($M$5:$M$104)),"A",IF(N21&lt;=0.95,"B","C")))</f>
        <v/>
      </c>
      <c r="P21" s="20" t="str">
        <f aca="false">IF(O21="A","每週",IF(O21="B","每月",IF(O21="C","每季","")))</f>
        <v/>
      </c>
    </row>
    <row r="22" customFormat="false" ht="15" hidden="false" customHeight="false" outlineLevel="0" collapsed="false">
      <c r="A22" s="14"/>
      <c r="B22" s="14"/>
      <c r="C22" s="14"/>
      <c r="D22" s="14"/>
      <c r="E22" s="16"/>
      <c r="F22" s="17"/>
      <c r="G22" s="18"/>
      <c r="H22" s="18"/>
      <c r="I22" s="19" t="str">
        <f aca="false">IF(OR(F22="",G22=""),"",ROUNDUP(F22*(G22+N(H22)),0))</f>
        <v/>
      </c>
      <c r="J22" s="18"/>
      <c r="K22" s="20" t="str">
        <f aca="false">IF(OR(I22="",J22=""),"",IF(J22&lt;=I22,"需叫貨","正常"))</f>
        <v/>
      </c>
      <c r="L22" s="19" t="str">
        <f aca="false">IF(K22="需叫貨",MAX(0,ROUNDUP(I22+F22*30-J22,0)),"")</f>
        <v/>
      </c>
      <c r="M22" s="21" t="str">
        <f aca="false">IF(OR(E22="",F22=""),"",E22*F22*365)</f>
        <v/>
      </c>
      <c r="N22" s="22" t="str">
        <f aca="false">IF(M22="","",SUMIF($M$5:$M$104,"&gt;="&amp;M22)/SUM($M$5:$M$104))</f>
        <v/>
      </c>
      <c r="O22" s="23" t="str">
        <f aca="false">IF(N22="","",IF(OR(N22&lt;=0.8,M22=MAX($M$5:$M$104)),"A",IF(N22&lt;=0.95,"B","C")))</f>
        <v/>
      </c>
      <c r="P22" s="20" t="str">
        <f aca="false">IF(O22="A","每週",IF(O22="B","每月",IF(O22="C","每季","")))</f>
        <v/>
      </c>
    </row>
    <row r="23" customFormat="false" ht="15" hidden="false" customHeight="false" outlineLevel="0" collapsed="false">
      <c r="A23" s="14"/>
      <c r="B23" s="14"/>
      <c r="C23" s="14"/>
      <c r="D23" s="14"/>
      <c r="E23" s="16"/>
      <c r="F23" s="17"/>
      <c r="G23" s="18"/>
      <c r="H23" s="18"/>
      <c r="I23" s="19" t="str">
        <f aca="false">IF(OR(F23="",G23=""),"",ROUNDUP(F23*(G23+N(H23)),0))</f>
        <v/>
      </c>
      <c r="J23" s="18"/>
      <c r="K23" s="20" t="str">
        <f aca="false">IF(OR(I23="",J23=""),"",IF(J23&lt;=I23,"需叫貨","正常"))</f>
        <v/>
      </c>
      <c r="L23" s="19" t="str">
        <f aca="false">IF(K23="需叫貨",MAX(0,ROUNDUP(I23+F23*30-J23,0)),"")</f>
        <v/>
      </c>
      <c r="M23" s="21" t="str">
        <f aca="false">IF(OR(E23="",F23=""),"",E23*F23*365)</f>
        <v/>
      </c>
      <c r="N23" s="22" t="str">
        <f aca="false">IF(M23="","",SUMIF($M$5:$M$104,"&gt;="&amp;M23)/SUM($M$5:$M$104))</f>
        <v/>
      </c>
      <c r="O23" s="23" t="str">
        <f aca="false">IF(N23="","",IF(OR(N23&lt;=0.8,M23=MAX($M$5:$M$104)),"A",IF(N23&lt;=0.95,"B","C")))</f>
        <v/>
      </c>
      <c r="P23" s="20" t="str">
        <f aca="false">IF(O23="A","每週",IF(O23="B","每月",IF(O23="C","每季","")))</f>
        <v/>
      </c>
    </row>
    <row r="24" customFormat="false" ht="15" hidden="false" customHeight="false" outlineLevel="0" collapsed="false">
      <c r="A24" s="14"/>
      <c r="B24" s="14"/>
      <c r="C24" s="14"/>
      <c r="D24" s="14"/>
      <c r="E24" s="16"/>
      <c r="F24" s="17"/>
      <c r="G24" s="18"/>
      <c r="H24" s="18"/>
      <c r="I24" s="19" t="str">
        <f aca="false">IF(OR(F24="",G24=""),"",ROUNDUP(F24*(G24+N(H24)),0))</f>
        <v/>
      </c>
      <c r="J24" s="18"/>
      <c r="K24" s="20" t="str">
        <f aca="false">IF(OR(I24="",J24=""),"",IF(J24&lt;=I24,"需叫貨","正常"))</f>
        <v/>
      </c>
      <c r="L24" s="19" t="str">
        <f aca="false">IF(K24="需叫貨",MAX(0,ROUNDUP(I24+F24*30-J24,0)),"")</f>
        <v/>
      </c>
      <c r="M24" s="21" t="str">
        <f aca="false">IF(OR(E24="",F24=""),"",E24*F24*365)</f>
        <v/>
      </c>
      <c r="N24" s="22" t="str">
        <f aca="false">IF(M24="","",SUMIF($M$5:$M$104,"&gt;="&amp;M24)/SUM($M$5:$M$104))</f>
        <v/>
      </c>
      <c r="O24" s="23" t="str">
        <f aca="false">IF(N24="","",IF(OR(N24&lt;=0.8,M24=MAX($M$5:$M$104)),"A",IF(N24&lt;=0.95,"B","C")))</f>
        <v/>
      </c>
      <c r="P24" s="20" t="str">
        <f aca="false">IF(O24="A","每週",IF(O24="B","每月",IF(O24="C","每季","")))</f>
        <v/>
      </c>
    </row>
    <row r="25" customFormat="false" ht="15" hidden="false" customHeight="false" outlineLevel="0" collapsed="false">
      <c r="A25" s="14"/>
      <c r="B25" s="14"/>
      <c r="C25" s="14"/>
      <c r="D25" s="14"/>
      <c r="E25" s="16"/>
      <c r="F25" s="17"/>
      <c r="G25" s="18"/>
      <c r="H25" s="18"/>
      <c r="I25" s="19" t="str">
        <f aca="false">IF(OR(F25="",G25=""),"",ROUNDUP(F25*(G25+N(H25)),0))</f>
        <v/>
      </c>
      <c r="J25" s="18"/>
      <c r="K25" s="20" t="str">
        <f aca="false">IF(OR(I25="",J25=""),"",IF(J25&lt;=I25,"需叫貨","正常"))</f>
        <v/>
      </c>
      <c r="L25" s="19" t="str">
        <f aca="false">IF(K25="需叫貨",MAX(0,ROUNDUP(I25+F25*30-J25,0)),"")</f>
        <v/>
      </c>
      <c r="M25" s="21" t="str">
        <f aca="false">IF(OR(E25="",F25=""),"",E25*F25*365)</f>
        <v/>
      </c>
      <c r="N25" s="22" t="str">
        <f aca="false">IF(M25="","",SUMIF($M$5:$M$104,"&gt;="&amp;M25)/SUM($M$5:$M$104))</f>
        <v/>
      </c>
      <c r="O25" s="23" t="str">
        <f aca="false">IF(N25="","",IF(OR(N25&lt;=0.8,M25=MAX($M$5:$M$104)),"A",IF(N25&lt;=0.95,"B","C")))</f>
        <v/>
      </c>
      <c r="P25" s="20" t="str">
        <f aca="false">IF(O25="A","每週",IF(O25="B","每月",IF(O25="C","每季","")))</f>
        <v/>
      </c>
    </row>
    <row r="26" customFormat="false" ht="15" hidden="false" customHeight="false" outlineLevel="0" collapsed="false">
      <c r="A26" s="14"/>
      <c r="B26" s="14"/>
      <c r="C26" s="14"/>
      <c r="D26" s="14"/>
      <c r="E26" s="16"/>
      <c r="F26" s="17"/>
      <c r="G26" s="18"/>
      <c r="H26" s="18"/>
      <c r="I26" s="19" t="str">
        <f aca="false">IF(OR(F26="",G26=""),"",ROUNDUP(F26*(G26+N(H26)),0))</f>
        <v/>
      </c>
      <c r="J26" s="18"/>
      <c r="K26" s="20" t="str">
        <f aca="false">IF(OR(I26="",J26=""),"",IF(J26&lt;=I26,"需叫貨","正常"))</f>
        <v/>
      </c>
      <c r="L26" s="19" t="str">
        <f aca="false">IF(K26="需叫貨",MAX(0,ROUNDUP(I26+F26*30-J26,0)),"")</f>
        <v/>
      </c>
      <c r="M26" s="21" t="str">
        <f aca="false">IF(OR(E26="",F26=""),"",E26*F26*365)</f>
        <v/>
      </c>
      <c r="N26" s="22" t="str">
        <f aca="false">IF(M26="","",SUMIF($M$5:$M$104,"&gt;="&amp;M26)/SUM($M$5:$M$104))</f>
        <v/>
      </c>
      <c r="O26" s="23" t="str">
        <f aca="false">IF(N26="","",IF(OR(N26&lt;=0.8,M26=MAX($M$5:$M$104)),"A",IF(N26&lt;=0.95,"B","C")))</f>
        <v/>
      </c>
      <c r="P26" s="20" t="str">
        <f aca="false">IF(O26="A","每週",IF(O26="B","每月",IF(O26="C","每季","")))</f>
        <v/>
      </c>
    </row>
    <row r="27" customFormat="false" ht="15" hidden="false" customHeight="false" outlineLevel="0" collapsed="false">
      <c r="A27" s="14"/>
      <c r="B27" s="14"/>
      <c r="C27" s="14"/>
      <c r="D27" s="14"/>
      <c r="E27" s="16"/>
      <c r="F27" s="17"/>
      <c r="G27" s="18"/>
      <c r="H27" s="18"/>
      <c r="I27" s="19" t="str">
        <f aca="false">IF(OR(F27="",G27=""),"",ROUNDUP(F27*(G27+N(H27)),0))</f>
        <v/>
      </c>
      <c r="J27" s="18"/>
      <c r="K27" s="20" t="str">
        <f aca="false">IF(OR(I27="",J27=""),"",IF(J27&lt;=I27,"需叫貨","正常"))</f>
        <v/>
      </c>
      <c r="L27" s="19" t="str">
        <f aca="false">IF(K27="需叫貨",MAX(0,ROUNDUP(I27+F27*30-J27,0)),"")</f>
        <v/>
      </c>
      <c r="M27" s="21" t="str">
        <f aca="false">IF(OR(E27="",F27=""),"",E27*F27*365)</f>
        <v/>
      </c>
      <c r="N27" s="22" t="str">
        <f aca="false">IF(M27="","",SUMIF($M$5:$M$104,"&gt;="&amp;M27)/SUM($M$5:$M$104))</f>
        <v/>
      </c>
      <c r="O27" s="23" t="str">
        <f aca="false">IF(N27="","",IF(OR(N27&lt;=0.8,M27=MAX($M$5:$M$104)),"A",IF(N27&lt;=0.95,"B","C")))</f>
        <v/>
      </c>
      <c r="P27" s="20" t="str">
        <f aca="false">IF(O27="A","每週",IF(O27="B","每月",IF(O27="C","每季","")))</f>
        <v/>
      </c>
    </row>
    <row r="28" customFormat="false" ht="15" hidden="false" customHeight="false" outlineLevel="0" collapsed="false">
      <c r="A28" s="14"/>
      <c r="B28" s="14"/>
      <c r="C28" s="14"/>
      <c r="D28" s="14"/>
      <c r="E28" s="16"/>
      <c r="F28" s="17"/>
      <c r="G28" s="18"/>
      <c r="H28" s="18"/>
      <c r="I28" s="19" t="str">
        <f aca="false">IF(OR(F28="",G28=""),"",ROUNDUP(F28*(G28+N(H28)),0))</f>
        <v/>
      </c>
      <c r="J28" s="18"/>
      <c r="K28" s="20" t="str">
        <f aca="false">IF(OR(I28="",J28=""),"",IF(J28&lt;=I28,"需叫貨","正常"))</f>
        <v/>
      </c>
      <c r="L28" s="19" t="str">
        <f aca="false">IF(K28="需叫貨",MAX(0,ROUNDUP(I28+F28*30-J28,0)),"")</f>
        <v/>
      </c>
      <c r="M28" s="21" t="str">
        <f aca="false">IF(OR(E28="",F28=""),"",E28*F28*365)</f>
        <v/>
      </c>
      <c r="N28" s="22" t="str">
        <f aca="false">IF(M28="","",SUMIF($M$5:$M$104,"&gt;="&amp;M28)/SUM($M$5:$M$104))</f>
        <v/>
      </c>
      <c r="O28" s="23" t="str">
        <f aca="false">IF(N28="","",IF(OR(N28&lt;=0.8,M28=MAX($M$5:$M$104)),"A",IF(N28&lt;=0.95,"B","C")))</f>
        <v/>
      </c>
      <c r="P28" s="20" t="str">
        <f aca="false">IF(O28="A","每週",IF(O28="B","每月",IF(O28="C","每季","")))</f>
        <v/>
      </c>
    </row>
    <row r="29" customFormat="false" ht="15" hidden="false" customHeight="false" outlineLevel="0" collapsed="false">
      <c r="A29" s="14"/>
      <c r="B29" s="14"/>
      <c r="C29" s="14"/>
      <c r="D29" s="14"/>
      <c r="E29" s="16"/>
      <c r="F29" s="17"/>
      <c r="G29" s="18"/>
      <c r="H29" s="18"/>
      <c r="I29" s="19" t="str">
        <f aca="false">IF(OR(F29="",G29=""),"",ROUNDUP(F29*(G29+N(H29)),0))</f>
        <v/>
      </c>
      <c r="J29" s="18"/>
      <c r="K29" s="20" t="str">
        <f aca="false">IF(OR(I29="",J29=""),"",IF(J29&lt;=I29,"需叫貨","正常"))</f>
        <v/>
      </c>
      <c r="L29" s="19" t="str">
        <f aca="false">IF(K29="需叫貨",MAX(0,ROUNDUP(I29+F29*30-J29,0)),"")</f>
        <v/>
      </c>
      <c r="M29" s="21" t="str">
        <f aca="false">IF(OR(E29="",F29=""),"",E29*F29*365)</f>
        <v/>
      </c>
      <c r="N29" s="22" t="str">
        <f aca="false">IF(M29="","",SUMIF($M$5:$M$104,"&gt;="&amp;M29)/SUM($M$5:$M$104))</f>
        <v/>
      </c>
      <c r="O29" s="23" t="str">
        <f aca="false">IF(N29="","",IF(OR(N29&lt;=0.8,M29=MAX($M$5:$M$104)),"A",IF(N29&lt;=0.95,"B","C")))</f>
        <v/>
      </c>
      <c r="P29" s="20" t="str">
        <f aca="false">IF(O29="A","每週",IF(O29="B","每月",IF(O29="C","每季","")))</f>
        <v/>
      </c>
    </row>
    <row r="30" customFormat="false" ht="15" hidden="false" customHeight="false" outlineLevel="0" collapsed="false">
      <c r="A30" s="14"/>
      <c r="B30" s="14"/>
      <c r="C30" s="14"/>
      <c r="D30" s="14"/>
      <c r="E30" s="16"/>
      <c r="F30" s="17"/>
      <c r="G30" s="18"/>
      <c r="H30" s="18"/>
      <c r="I30" s="19" t="str">
        <f aca="false">IF(OR(F30="",G30=""),"",ROUNDUP(F30*(G30+N(H30)),0))</f>
        <v/>
      </c>
      <c r="J30" s="18"/>
      <c r="K30" s="20" t="str">
        <f aca="false">IF(OR(I30="",J30=""),"",IF(J30&lt;=I30,"需叫貨","正常"))</f>
        <v/>
      </c>
      <c r="L30" s="19" t="str">
        <f aca="false">IF(K30="需叫貨",MAX(0,ROUNDUP(I30+F30*30-J30,0)),"")</f>
        <v/>
      </c>
      <c r="M30" s="21" t="str">
        <f aca="false">IF(OR(E30="",F30=""),"",E30*F30*365)</f>
        <v/>
      </c>
      <c r="N30" s="22" t="str">
        <f aca="false">IF(M30="","",SUMIF($M$5:$M$104,"&gt;="&amp;M30)/SUM($M$5:$M$104))</f>
        <v/>
      </c>
      <c r="O30" s="23" t="str">
        <f aca="false">IF(N30="","",IF(OR(N30&lt;=0.8,M30=MAX($M$5:$M$104)),"A",IF(N30&lt;=0.95,"B","C")))</f>
        <v/>
      </c>
      <c r="P30" s="20" t="str">
        <f aca="false">IF(O30="A","每週",IF(O30="B","每月",IF(O30="C","每季","")))</f>
        <v/>
      </c>
    </row>
    <row r="31" customFormat="false" ht="15" hidden="false" customHeight="false" outlineLevel="0" collapsed="false">
      <c r="A31" s="14"/>
      <c r="B31" s="14"/>
      <c r="C31" s="14"/>
      <c r="D31" s="14"/>
      <c r="E31" s="16"/>
      <c r="F31" s="17"/>
      <c r="G31" s="18"/>
      <c r="H31" s="18"/>
      <c r="I31" s="19" t="str">
        <f aca="false">IF(OR(F31="",G31=""),"",ROUNDUP(F31*(G31+N(H31)),0))</f>
        <v/>
      </c>
      <c r="J31" s="18"/>
      <c r="K31" s="20" t="str">
        <f aca="false">IF(OR(I31="",J31=""),"",IF(J31&lt;=I31,"需叫貨","正常"))</f>
        <v/>
      </c>
      <c r="L31" s="19" t="str">
        <f aca="false">IF(K31="需叫貨",MAX(0,ROUNDUP(I31+F31*30-J31,0)),"")</f>
        <v/>
      </c>
      <c r="M31" s="21" t="str">
        <f aca="false">IF(OR(E31="",F31=""),"",E31*F31*365)</f>
        <v/>
      </c>
      <c r="N31" s="22" t="str">
        <f aca="false">IF(M31="","",SUMIF($M$5:$M$104,"&gt;="&amp;M31)/SUM($M$5:$M$104))</f>
        <v/>
      </c>
      <c r="O31" s="23" t="str">
        <f aca="false">IF(N31="","",IF(OR(N31&lt;=0.8,M31=MAX($M$5:$M$104)),"A",IF(N31&lt;=0.95,"B","C")))</f>
        <v/>
      </c>
      <c r="P31" s="20" t="str">
        <f aca="false">IF(O31="A","每週",IF(O31="B","每月",IF(O31="C","每季","")))</f>
        <v/>
      </c>
    </row>
    <row r="32" customFormat="false" ht="15" hidden="false" customHeight="false" outlineLevel="0" collapsed="false">
      <c r="A32" s="14"/>
      <c r="B32" s="14"/>
      <c r="C32" s="14"/>
      <c r="D32" s="14"/>
      <c r="E32" s="16"/>
      <c r="F32" s="17"/>
      <c r="G32" s="18"/>
      <c r="H32" s="18"/>
      <c r="I32" s="19" t="str">
        <f aca="false">IF(OR(F32="",G32=""),"",ROUNDUP(F32*(G32+N(H32)),0))</f>
        <v/>
      </c>
      <c r="J32" s="18"/>
      <c r="K32" s="20" t="str">
        <f aca="false">IF(OR(I32="",J32=""),"",IF(J32&lt;=I32,"需叫貨","正常"))</f>
        <v/>
      </c>
      <c r="L32" s="19" t="str">
        <f aca="false">IF(K32="需叫貨",MAX(0,ROUNDUP(I32+F32*30-J32,0)),"")</f>
        <v/>
      </c>
      <c r="M32" s="21" t="str">
        <f aca="false">IF(OR(E32="",F32=""),"",E32*F32*365)</f>
        <v/>
      </c>
      <c r="N32" s="22" t="str">
        <f aca="false">IF(M32="","",SUMIF($M$5:$M$104,"&gt;="&amp;M32)/SUM($M$5:$M$104))</f>
        <v/>
      </c>
      <c r="O32" s="23" t="str">
        <f aca="false">IF(N32="","",IF(OR(N32&lt;=0.8,M32=MAX($M$5:$M$104)),"A",IF(N32&lt;=0.95,"B","C")))</f>
        <v/>
      </c>
      <c r="P32" s="20" t="str">
        <f aca="false">IF(O32="A","每週",IF(O32="B","每月",IF(O32="C","每季","")))</f>
        <v/>
      </c>
    </row>
    <row r="33" customFormat="false" ht="15" hidden="false" customHeight="false" outlineLevel="0" collapsed="false">
      <c r="A33" s="14"/>
      <c r="B33" s="14"/>
      <c r="C33" s="14"/>
      <c r="D33" s="14"/>
      <c r="E33" s="16"/>
      <c r="F33" s="17"/>
      <c r="G33" s="18"/>
      <c r="H33" s="18"/>
      <c r="I33" s="19" t="str">
        <f aca="false">IF(OR(F33="",G33=""),"",ROUNDUP(F33*(G33+N(H33)),0))</f>
        <v/>
      </c>
      <c r="J33" s="18"/>
      <c r="K33" s="20" t="str">
        <f aca="false">IF(OR(I33="",J33=""),"",IF(J33&lt;=I33,"需叫貨","正常"))</f>
        <v/>
      </c>
      <c r="L33" s="19" t="str">
        <f aca="false">IF(K33="需叫貨",MAX(0,ROUNDUP(I33+F33*30-J33,0)),"")</f>
        <v/>
      </c>
      <c r="M33" s="21" t="str">
        <f aca="false">IF(OR(E33="",F33=""),"",E33*F33*365)</f>
        <v/>
      </c>
      <c r="N33" s="22" t="str">
        <f aca="false">IF(M33="","",SUMIF($M$5:$M$104,"&gt;="&amp;M33)/SUM($M$5:$M$104))</f>
        <v/>
      </c>
      <c r="O33" s="23" t="str">
        <f aca="false">IF(N33="","",IF(OR(N33&lt;=0.8,M33=MAX($M$5:$M$104)),"A",IF(N33&lt;=0.95,"B","C")))</f>
        <v/>
      </c>
      <c r="P33" s="20" t="str">
        <f aca="false">IF(O33="A","每週",IF(O33="B","每月",IF(O33="C","每季","")))</f>
        <v/>
      </c>
    </row>
    <row r="34" customFormat="false" ht="15" hidden="false" customHeight="false" outlineLevel="0" collapsed="false">
      <c r="A34" s="14"/>
      <c r="B34" s="14"/>
      <c r="C34" s="14"/>
      <c r="D34" s="14"/>
      <c r="E34" s="16"/>
      <c r="F34" s="17"/>
      <c r="G34" s="18"/>
      <c r="H34" s="18"/>
      <c r="I34" s="19" t="str">
        <f aca="false">IF(OR(F34="",G34=""),"",ROUNDUP(F34*(G34+N(H34)),0))</f>
        <v/>
      </c>
      <c r="J34" s="18"/>
      <c r="K34" s="20" t="str">
        <f aca="false">IF(OR(I34="",J34=""),"",IF(J34&lt;=I34,"需叫貨","正常"))</f>
        <v/>
      </c>
      <c r="L34" s="19" t="str">
        <f aca="false">IF(K34="需叫貨",MAX(0,ROUNDUP(I34+F34*30-J34,0)),"")</f>
        <v/>
      </c>
      <c r="M34" s="21" t="str">
        <f aca="false">IF(OR(E34="",F34=""),"",E34*F34*365)</f>
        <v/>
      </c>
      <c r="N34" s="22" t="str">
        <f aca="false">IF(M34="","",SUMIF($M$5:$M$104,"&gt;="&amp;M34)/SUM($M$5:$M$104))</f>
        <v/>
      </c>
      <c r="O34" s="23" t="str">
        <f aca="false">IF(N34="","",IF(OR(N34&lt;=0.8,M34=MAX($M$5:$M$104)),"A",IF(N34&lt;=0.95,"B","C")))</f>
        <v/>
      </c>
      <c r="P34" s="20" t="str">
        <f aca="false">IF(O34="A","每週",IF(O34="B","每月",IF(O34="C","每季","")))</f>
        <v/>
      </c>
    </row>
    <row r="35" customFormat="false" ht="15" hidden="false" customHeight="false" outlineLevel="0" collapsed="false">
      <c r="A35" s="14"/>
      <c r="B35" s="14"/>
      <c r="C35" s="14"/>
      <c r="D35" s="14"/>
      <c r="E35" s="16"/>
      <c r="F35" s="17"/>
      <c r="G35" s="18"/>
      <c r="H35" s="18"/>
      <c r="I35" s="19" t="str">
        <f aca="false">IF(OR(F35="",G35=""),"",ROUNDUP(F35*(G35+N(H35)),0))</f>
        <v/>
      </c>
      <c r="J35" s="18"/>
      <c r="K35" s="20" t="str">
        <f aca="false">IF(OR(I35="",J35=""),"",IF(J35&lt;=I35,"需叫貨","正常"))</f>
        <v/>
      </c>
      <c r="L35" s="19" t="str">
        <f aca="false">IF(K35="需叫貨",MAX(0,ROUNDUP(I35+F35*30-J35,0)),"")</f>
        <v/>
      </c>
      <c r="M35" s="21" t="str">
        <f aca="false">IF(OR(E35="",F35=""),"",E35*F35*365)</f>
        <v/>
      </c>
      <c r="N35" s="22" t="str">
        <f aca="false">IF(M35="","",SUMIF($M$5:$M$104,"&gt;="&amp;M35)/SUM($M$5:$M$104))</f>
        <v/>
      </c>
      <c r="O35" s="23" t="str">
        <f aca="false">IF(N35="","",IF(OR(N35&lt;=0.8,M35=MAX($M$5:$M$104)),"A",IF(N35&lt;=0.95,"B","C")))</f>
        <v/>
      </c>
      <c r="P35" s="20" t="str">
        <f aca="false">IF(O35="A","每週",IF(O35="B","每月",IF(O35="C","每季","")))</f>
        <v/>
      </c>
    </row>
    <row r="36" customFormat="false" ht="15" hidden="false" customHeight="false" outlineLevel="0" collapsed="false">
      <c r="A36" s="14"/>
      <c r="B36" s="14"/>
      <c r="C36" s="14"/>
      <c r="D36" s="14"/>
      <c r="E36" s="16"/>
      <c r="F36" s="17"/>
      <c r="G36" s="18"/>
      <c r="H36" s="18"/>
      <c r="I36" s="19" t="str">
        <f aca="false">IF(OR(F36="",G36=""),"",ROUNDUP(F36*(G36+N(H36)),0))</f>
        <v/>
      </c>
      <c r="J36" s="18"/>
      <c r="K36" s="20" t="str">
        <f aca="false">IF(OR(I36="",J36=""),"",IF(J36&lt;=I36,"需叫貨","正常"))</f>
        <v/>
      </c>
      <c r="L36" s="19" t="str">
        <f aca="false">IF(K36="需叫貨",MAX(0,ROUNDUP(I36+F36*30-J36,0)),"")</f>
        <v/>
      </c>
      <c r="M36" s="21" t="str">
        <f aca="false">IF(OR(E36="",F36=""),"",E36*F36*365)</f>
        <v/>
      </c>
      <c r="N36" s="22" t="str">
        <f aca="false">IF(M36="","",SUMIF($M$5:$M$104,"&gt;="&amp;M36)/SUM($M$5:$M$104))</f>
        <v/>
      </c>
      <c r="O36" s="23" t="str">
        <f aca="false">IF(N36="","",IF(OR(N36&lt;=0.8,M36=MAX($M$5:$M$104)),"A",IF(N36&lt;=0.95,"B","C")))</f>
        <v/>
      </c>
      <c r="P36" s="20" t="str">
        <f aca="false">IF(O36="A","每週",IF(O36="B","每月",IF(O36="C","每季","")))</f>
        <v/>
      </c>
    </row>
    <row r="37" customFormat="false" ht="15" hidden="false" customHeight="false" outlineLevel="0" collapsed="false">
      <c r="A37" s="14"/>
      <c r="B37" s="14"/>
      <c r="C37" s="14"/>
      <c r="D37" s="14"/>
      <c r="E37" s="16"/>
      <c r="F37" s="17"/>
      <c r="G37" s="18"/>
      <c r="H37" s="18"/>
      <c r="I37" s="19" t="str">
        <f aca="false">IF(OR(F37="",G37=""),"",ROUNDUP(F37*(G37+N(H37)),0))</f>
        <v/>
      </c>
      <c r="J37" s="18"/>
      <c r="K37" s="20" t="str">
        <f aca="false">IF(OR(I37="",J37=""),"",IF(J37&lt;=I37,"需叫貨","正常"))</f>
        <v/>
      </c>
      <c r="L37" s="19" t="str">
        <f aca="false">IF(K37="需叫貨",MAX(0,ROUNDUP(I37+F37*30-J37,0)),"")</f>
        <v/>
      </c>
      <c r="M37" s="21" t="str">
        <f aca="false">IF(OR(E37="",F37=""),"",E37*F37*365)</f>
        <v/>
      </c>
      <c r="N37" s="22" t="str">
        <f aca="false">IF(M37="","",SUMIF($M$5:$M$104,"&gt;="&amp;M37)/SUM($M$5:$M$104))</f>
        <v/>
      </c>
      <c r="O37" s="23" t="str">
        <f aca="false">IF(N37="","",IF(OR(N37&lt;=0.8,M37=MAX($M$5:$M$104)),"A",IF(N37&lt;=0.95,"B","C")))</f>
        <v/>
      </c>
      <c r="P37" s="20" t="str">
        <f aca="false">IF(O37="A","每週",IF(O37="B","每月",IF(O37="C","每季","")))</f>
        <v/>
      </c>
    </row>
    <row r="38" customFormat="false" ht="15" hidden="false" customHeight="false" outlineLevel="0" collapsed="false">
      <c r="A38" s="14"/>
      <c r="B38" s="14"/>
      <c r="C38" s="14"/>
      <c r="D38" s="14"/>
      <c r="E38" s="16"/>
      <c r="F38" s="17"/>
      <c r="G38" s="18"/>
      <c r="H38" s="18"/>
      <c r="I38" s="19" t="str">
        <f aca="false">IF(OR(F38="",G38=""),"",ROUNDUP(F38*(G38+N(H38)),0))</f>
        <v/>
      </c>
      <c r="J38" s="18"/>
      <c r="K38" s="20" t="str">
        <f aca="false">IF(OR(I38="",J38=""),"",IF(J38&lt;=I38,"需叫貨","正常"))</f>
        <v/>
      </c>
      <c r="L38" s="19" t="str">
        <f aca="false">IF(K38="需叫貨",MAX(0,ROUNDUP(I38+F38*30-J38,0)),"")</f>
        <v/>
      </c>
      <c r="M38" s="21" t="str">
        <f aca="false">IF(OR(E38="",F38=""),"",E38*F38*365)</f>
        <v/>
      </c>
      <c r="N38" s="22" t="str">
        <f aca="false">IF(M38="","",SUMIF($M$5:$M$104,"&gt;="&amp;M38)/SUM($M$5:$M$104))</f>
        <v/>
      </c>
      <c r="O38" s="23" t="str">
        <f aca="false">IF(N38="","",IF(OR(N38&lt;=0.8,M38=MAX($M$5:$M$104)),"A",IF(N38&lt;=0.95,"B","C")))</f>
        <v/>
      </c>
      <c r="P38" s="20" t="str">
        <f aca="false">IF(O38="A","每週",IF(O38="B","每月",IF(O38="C","每季","")))</f>
        <v/>
      </c>
    </row>
    <row r="39" customFormat="false" ht="15" hidden="false" customHeight="false" outlineLevel="0" collapsed="false">
      <c r="A39" s="14"/>
      <c r="B39" s="14"/>
      <c r="C39" s="14"/>
      <c r="D39" s="14"/>
      <c r="E39" s="16"/>
      <c r="F39" s="17"/>
      <c r="G39" s="18"/>
      <c r="H39" s="18"/>
      <c r="I39" s="19" t="str">
        <f aca="false">IF(OR(F39="",G39=""),"",ROUNDUP(F39*(G39+N(H39)),0))</f>
        <v/>
      </c>
      <c r="J39" s="18"/>
      <c r="K39" s="20" t="str">
        <f aca="false">IF(OR(I39="",J39=""),"",IF(J39&lt;=I39,"需叫貨","正常"))</f>
        <v/>
      </c>
      <c r="L39" s="19" t="str">
        <f aca="false">IF(K39="需叫貨",MAX(0,ROUNDUP(I39+F39*30-J39,0)),"")</f>
        <v/>
      </c>
      <c r="M39" s="21" t="str">
        <f aca="false">IF(OR(E39="",F39=""),"",E39*F39*365)</f>
        <v/>
      </c>
      <c r="N39" s="22" t="str">
        <f aca="false">IF(M39="","",SUMIF($M$5:$M$104,"&gt;="&amp;M39)/SUM($M$5:$M$104))</f>
        <v/>
      </c>
      <c r="O39" s="23" t="str">
        <f aca="false">IF(N39="","",IF(OR(N39&lt;=0.8,M39=MAX($M$5:$M$104)),"A",IF(N39&lt;=0.95,"B","C")))</f>
        <v/>
      </c>
      <c r="P39" s="20" t="str">
        <f aca="false">IF(O39="A","每週",IF(O39="B","每月",IF(O39="C","每季","")))</f>
        <v/>
      </c>
    </row>
    <row r="40" customFormat="false" ht="15" hidden="false" customHeight="false" outlineLevel="0" collapsed="false">
      <c r="A40" s="14"/>
      <c r="B40" s="14"/>
      <c r="C40" s="14"/>
      <c r="D40" s="14"/>
      <c r="E40" s="16"/>
      <c r="F40" s="17"/>
      <c r="G40" s="18"/>
      <c r="H40" s="18"/>
      <c r="I40" s="19" t="str">
        <f aca="false">IF(OR(F40="",G40=""),"",ROUNDUP(F40*(G40+N(H40)),0))</f>
        <v/>
      </c>
      <c r="J40" s="18"/>
      <c r="K40" s="20" t="str">
        <f aca="false">IF(OR(I40="",J40=""),"",IF(J40&lt;=I40,"需叫貨","正常"))</f>
        <v/>
      </c>
      <c r="L40" s="19" t="str">
        <f aca="false">IF(K40="需叫貨",MAX(0,ROUNDUP(I40+F40*30-J40,0)),"")</f>
        <v/>
      </c>
      <c r="M40" s="21" t="str">
        <f aca="false">IF(OR(E40="",F40=""),"",E40*F40*365)</f>
        <v/>
      </c>
      <c r="N40" s="22" t="str">
        <f aca="false">IF(M40="","",SUMIF($M$5:$M$104,"&gt;="&amp;M40)/SUM($M$5:$M$104))</f>
        <v/>
      </c>
      <c r="O40" s="23" t="str">
        <f aca="false">IF(N40="","",IF(OR(N40&lt;=0.8,M40=MAX($M$5:$M$104)),"A",IF(N40&lt;=0.95,"B","C")))</f>
        <v/>
      </c>
      <c r="P40" s="20" t="str">
        <f aca="false">IF(O40="A","每週",IF(O40="B","每月",IF(O40="C","每季","")))</f>
        <v/>
      </c>
    </row>
    <row r="41" customFormat="false" ht="15" hidden="false" customHeight="false" outlineLevel="0" collapsed="false">
      <c r="A41" s="14"/>
      <c r="B41" s="14"/>
      <c r="C41" s="14"/>
      <c r="D41" s="14"/>
      <c r="E41" s="16"/>
      <c r="F41" s="17"/>
      <c r="G41" s="18"/>
      <c r="H41" s="18"/>
      <c r="I41" s="19" t="str">
        <f aca="false">IF(OR(F41="",G41=""),"",ROUNDUP(F41*(G41+N(H41)),0))</f>
        <v/>
      </c>
      <c r="J41" s="18"/>
      <c r="K41" s="20" t="str">
        <f aca="false">IF(OR(I41="",J41=""),"",IF(J41&lt;=I41,"需叫貨","正常"))</f>
        <v/>
      </c>
      <c r="L41" s="19" t="str">
        <f aca="false">IF(K41="需叫貨",MAX(0,ROUNDUP(I41+F41*30-J41,0)),"")</f>
        <v/>
      </c>
      <c r="M41" s="21" t="str">
        <f aca="false">IF(OR(E41="",F41=""),"",E41*F41*365)</f>
        <v/>
      </c>
      <c r="N41" s="22" t="str">
        <f aca="false">IF(M41="","",SUMIF($M$5:$M$104,"&gt;="&amp;M41)/SUM($M$5:$M$104))</f>
        <v/>
      </c>
      <c r="O41" s="23" t="str">
        <f aca="false">IF(N41="","",IF(OR(N41&lt;=0.8,M41=MAX($M$5:$M$104)),"A",IF(N41&lt;=0.95,"B","C")))</f>
        <v/>
      </c>
      <c r="P41" s="20" t="str">
        <f aca="false">IF(O41="A","每週",IF(O41="B","每月",IF(O41="C","每季","")))</f>
        <v/>
      </c>
    </row>
    <row r="42" customFormat="false" ht="15" hidden="false" customHeight="false" outlineLevel="0" collapsed="false">
      <c r="A42" s="14"/>
      <c r="B42" s="14"/>
      <c r="C42" s="14"/>
      <c r="D42" s="14"/>
      <c r="E42" s="16"/>
      <c r="F42" s="17"/>
      <c r="G42" s="18"/>
      <c r="H42" s="18"/>
      <c r="I42" s="19" t="str">
        <f aca="false">IF(OR(F42="",G42=""),"",ROUNDUP(F42*(G42+N(H42)),0))</f>
        <v/>
      </c>
      <c r="J42" s="18"/>
      <c r="K42" s="20" t="str">
        <f aca="false">IF(OR(I42="",J42=""),"",IF(J42&lt;=I42,"需叫貨","正常"))</f>
        <v/>
      </c>
      <c r="L42" s="19" t="str">
        <f aca="false">IF(K42="需叫貨",MAX(0,ROUNDUP(I42+F42*30-J42,0)),"")</f>
        <v/>
      </c>
      <c r="M42" s="21" t="str">
        <f aca="false">IF(OR(E42="",F42=""),"",E42*F42*365)</f>
        <v/>
      </c>
      <c r="N42" s="22" t="str">
        <f aca="false">IF(M42="","",SUMIF($M$5:$M$104,"&gt;="&amp;M42)/SUM($M$5:$M$104))</f>
        <v/>
      </c>
      <c r="O42" s="23" t="str">
        <f aca="false">IF(N42="","",IF(OR(N42&lt;=0.8,M42=MAX($M$5:$M$104)),"A",IF(N42&lt;=0.95,"B","C")))</f>
        <v/>
      </c>
      <c r="P42" s="20" t="str">
        <f aca="false">IF(O42="A","每週",IF(O42="B","每月",IF(O42="C","每季","")))</f>
        <v/>
      </c>
    </row>
    <row r="43" customFormat="false" ht="15" hidden="false" customHeight="false" outlineLevel="0" collapsed="false">
      <c r="A43" s="14"/>
      <c r="B43" s="14"/>
      <c r="C43" s="14"/>
      <c r="D43" s="14"/>
      <c r="E43" s="16"/>
      <c r="F43" s="17"/>
      <c r="G43" s="18"/>
      <c r="H43" s="18"/>
      <c r="I43" s="19" t="str">
        <f aca="false">IF(OR(F43="",G43=""),"",ROUNDUP(F43*(G43+N(H43)),0))</f>
        <v/>
      </c>
      <c r="J43" s="18"/>
      <c r="K43" s="20" t="str">
        <f aca="false">IF(OR(I43="",J43=""),"",IF(J43&lt;=I43,"需叫貨","正常"))</f>
        <v/>
      </c>
      <c r="L43" s="19" t="str">
        <f aca="false">IF(K43="需叫貨",MAX(0,ROUNDUP(I43+F43*30-J43,0)),"")</f>
        <v/>
      </c>
      <c r="M43" s="21" t="str">
        <f aca="false">IF(OR(E43="",F43=""),"",E43*F43*365)</f>
        <v/>
      </c>
      <c r="N43" s="22" t="str">
        <f aca="false">IF(M43="","",SUMIF($M$5:$M$104,"&gt;="&amp;M43)/SUM($M$5:$M$104))</f>
        <v/>
      </c>
      <c r="O43" s="23" t="str">
        <f aca="false">IF(N43="","",IF(OR(N43&lt;=0.8,M43=MAX($M$5:$M$104)),"A",IF(N43&lt;=0.95,"B","C")))</f>
        <v/>
      </c>
      <c r="P43" s="20" t="str">
        <f aca="false">IF(O43="A","每週",IF(O43="B","每月",IF(O43="C","每季","")))</f>
        <v/>
      </c>
    </row>
    <row r="44" customFormat="false" ht="15" hidden="false" customHeight="false" outlineLevel="0" collapsed="false">
      <c r="A44" s="14"/>
      <c r="B44" s="14"/>
      <c r="C44" s="14"/>
      <c r="D44" s="14"/>
      <c r="E44" s="16"/>
      <c r="F44" s="17"/>
      <c r="G44" s="18"/>
      <c r="H44" s="18"/>
      <c r="I44" s="19" t="str">
        <f aca="false">IF(OR(F44="",G44=""),"",ROUNDUP(F44*(G44+N(H44)),0))</f>
        <v/>
      </c>
      <c r="J44" s="18"/>
      <c r="K44" s="20" t="str">
        <f aca="false">IF(OR(I44="",J44=""),"",IF(J44&lt;=I44,"需叫貨","正常"))</f>
        <v/>
      </c>
      <c r="L44" s="19" t="str">
        <f aca="false">IF(K44="需叫貨",MAX(0,ROUNDUP(I44+F44*30-J44,0)),"")</f>
        <v/>
      </c>
      <c r="M44" s="21" t="str">
        <f aca="false">IF(OR(E44="",F44=""),"",E44*F44*365)</f>
        <v/>
      </c>
      <c r="N44" s="22" t="str">
        <f aca="false">IF(M44="","",SUMIF($M$5:$M$104,"&gt;="&amp;M44)/SUM($M$5:$M$104))</f>
        <v/>
      </c>
      <c r="O44" s="23" t="str">
        <f aca="false">IF(N44="","",IF(OR(N44&lt;=0.8,M44=MAX($M$5:$M$104)),"A",IF(N44&lt;=0.95,"B","C")))</f>
        <v/>
      </c>
      <c r="P44" s="20" t="str">
        <f aca="false">IF(O44="A","每週",IF(O44="B","每月",IF(O44="C","每季","")))</f>
        <v/>
      </c>
    </row>
    <row r="45" customFormat="false" ht="15" hidden="false" customHeight="false" outlineLevel="0" collapsed="false">
      <c r="A45" s="14"/>
      <c r="B45" s="14"/>
      <c r="C45" s="14"/>
      <c r="D45" s="14"/>
      <c r="E45" s="16"/>
      <c r="F45" s="17"/>
      <c r="G45" s="18"/>
      <c r="H45" s="18"/>
      <c r="I45" s="19" t="str">
        <f aca="false">IF(OR(F45="",G45=""),"",ROUNDUP(F45*(G45+N(H45)),0))</f>
        <v/>
      </c>
      <c r="J45" s="18"/>
      <c r="K45" s="20" t="str">
        <f aca="false">IF(OR(I45="",J45=""),"",IF(J45&lt;=I45,"需叫貨","正常"))</f>
        <v/>
      </c>
      <c r="L45" s="19" t="str">
        <f aca="false">IF(K45="需叫貨",MAX(0,ROUNDUP(I45+F45*30-J45,0)),"")</f>
        <v/>
      </c>
      <c r="M45" s="21" t="str">
        <f aca="false">IF(OR(E45="",F45=""),"",E45*F45*365)</f>
        <v/>
      </c>
      <c r="N45" s="22" t="str">
        <f aca="false">IF(M45="","",SUMIF($M$5:$M$104,"&gt;="&amp;M45)/SUM($M$5:$M$104))</f>
        <v/>
      </c>
      <c r="O45" s="23" t="str">
        <f aca="false">IF(N45="","",IF(OR(N45&lt;=0.8,M45=MAX($M$5:$M$104)),"A",IF(N45&lt;=0.95,"B","C")))</f>
        <v/>
      </c>
      <c r="P45" s="20" t="str">
        <f aca="false">IF(O45="A","每週",IF(O45="B","每月",IF(O45="C","每季","")))</f>
        <v/>
      </c>
    </row>
    <row r="46" customFormat="false" ht="15" hidden="false" customHeight="false" outlineLevel="0" collapsed="false">
      <c r="A46" s="14"/>
      <c r="B46" s="14"/>
      <c r="C46" s="14"/>
      <c r="D46" s="14"/>
      <c r="E46" s="16"/>
      <c r="F46" s="17"/>
      <c r="G46" s="18"/>
      <c r="H46" s="18"/>
      <c r="I46" s="19" t="str">
        <f aca="false">IF(OR(F46="",G46=""),"",ROUNDUP(F46*(G46+N(H46)),0))</f>
        <v/>
      </c>
      <c r="J46" s="18"/>
      <c r="K46" s="20" t="str">
        <f aca="false">IF(OR(I46="",J46=""),"",IF(J46&lt;=I46,"需叫貨","正常"))</f>
        <v/>
      </c>
      <c r="L46" s="19" t="str">
        <f aca="false">IF(K46="需叫貨",MAX(0,ROUNDUP(I46+F46*30-J46,0)),"")</f>
        <v/>
      </c>
      <c r="M46" s="21" t="str">
        <f aca="false">IF(OR(E46="",F46=""),"",E46*F46*365)</f>
        <v/>
      </c>
      <c r="N46" s="22" t="str">
        <f aca="false">IF(M46="","",SUMIF($M$5:$M$104,"&gt;="&amp;M46)/SUM($M$5:$M$104))</f>
        <v/>
      </c>
      <c r="O46" s="23" t="str">
        <f aca="false">IF(N46="","",IF(OR(N46&lt;=0.8,M46=MAX($M$5:$M$104)),"A",IF(N46&lt;=0.95,"B","C")))</f>
        <v/>
      </c>
      <c r="P46" s="20" t="str">
        <f aca="false">IF(O46="A","每週",IF(O46="B","每月",IF(O46="C","每季","")))</f>
        <v/>
      </c>
    </row>
    <row r="47" customFormat="false" ht="15" hidden="false" customHeight="false" outlineLevel="0" collapsed="false">
      <c r="A47" s="14"/>
      <c r="B47" s="14"/>
      <c r="C47" s="14"/>
      <c r="D47" s="14"/>
      <c r="E47" s="16"/>
      <c r="F47" s="17"/>
      <c r="G47" s="18"/>
      <c r="H47" s="18"/>
      <c r="I47" s="19" t="str">
        <f aca="false">IF(OR(F47="",G47=""),"",ROUNDUP(F47*(G47+N(H47)),0))</f>
        <v/>
      </c>
      <c r="J47" s="18"/>
      <c r="K47" s="20" t="str">
        <f aca="false">IF(OR(I47="",J47=""),"",IF(J47&lt;=I47,"需叫貨","正常"))</f>
        <v/>
      </c>
      <c r="L47" s="19" t="str">
        <f aca="false">IF(K47="需叫貨",MAX(0,ROUNDUP(I47+F47*30-J47,0)),"")</f>
        <v/>
      </c>
      <c r="M47" s="21" t="str">
        <f aca="false">IF(OR(E47="",F47=""),"",E47*F47*365)</f>
        <v/>
      </c>
      <c r="N47" s="22" t="str">
        <f aca="false">IF(M47="","",SUMIF($M$5:$M$104,"&gt;="&amp;M47)/SUM($M$5:$M$104))</f>
        <v/>
      </c>
      <c r="O47" s="23" t="str">
        <f aca="false">IF(N47="","",IF(OR(N47&lt;=0.8,M47=MAX($M$5:$M$104)),"A",IF(N47&lt;=0.95,"B","C")))</f>
        <v/>
      </c>
      <c r="P47" s="20" t="str">
        <f aca="false">IF(O47="A","每週",IF(O47="B","每月",IF(O47="C","每季","")))</f>
        <v/>
      </c>
    </row>
    <row r="48" customFormat="false" ht="15" hidden="false" customHeight="false" outlineLevel="0" collapsed="false">
      <c r="A48" s="14"/>
      <c r="B48" s="14"/>
      <c r="C48" s="14"/>
      <c r="D48" s="14"/>
      <c r="E48" s="16"/>
      <c r="F48" s="17"/>
      <c r="G48" s="18"/>
      <c r="H48" s="18"/>
      <c r="I48" s="19" t="str">
        <f aca="false">IF(OR(F48="",G48=""),"",ROUNDUP(F48*(G48+N(H48)),0))</f>
        <v/>
      </c>
      <c r="J48" s="18"/>
      <c r="K48" s="20" t="str">
        <f aca="false">IF(OR(I48="",J48=""),"",IF(J48&lt;=I48,"需叫貨","正常"))</f>
        <v/>
      </c>
      <c r="L48" s="19" t="str">
        <f aca="false">IF(K48="需叫貨",MAX(0,ROUNDUP(I48+F48*30-J48,0)),"")</f>
        <v/>
      </c>
      <c r="M48" s="21" t="str">
        <f aca="false">IF(OR(E48="",F48=""),"",E48*F48*365)</f>
        <v/>
      </c>
      <c r="N48" s="22" t="str">
        <f aca="false">IF(M48="","",SUMIF($M$5:$M$104,"&gt;="&amp;M48)/SUM($M$5:$M$104))</f>
        <v/>
      </c>
      <c r="O48" s="23" t="str">
        <f aca="false">IF(N48="","",IF(OR(N48&lt;=0.8,M48=MAX($M$5:$M$104)),"A",IF(N48&lt;=0.95,"B","C")))</f>
        <v/>
      </c>
      <c r="P48" s="20" t="str">
        <f aca="false">IF(O48="A","每週",IF(O48="B","每月",IF(O48="C","每季","")))</f>
        <v/>
      </c>
    </row>
    <row r="49" customFormat="false" ht="15" hidden="false" customHeight="false" outlineLevel="0" collapsed="false">
      <c r="A49" s="14"/>
      <c r="B49" s="14"/>
      <c r="C49" s="14"/>
      <c r="D49" s="14"/>
      <c r="E49" s="16"/>
      <c r="F49" s="17"/>
      <c r="G49" s="18"/>
      <c r="H49" s="18"/>
      <c r="I49" s="19" t="str">
        <f aca="false">IF(OR(F49="",G49=""),"",ROUNDUP(F49*(G49+N(H49)),0))</f>
        <v/>
      </c>
      <c r="J49" s="18"/>
      <c r="K49" s="20" t="str">
        <f aca="false">IF(OR(I49="",J49=""),"",IF(J49&lt;=I49,"需叫貨","正常"))</f>
        <v/>
      </c>
      <c r="L49" s="19" t="str">
        <f aca="false">IF(K49="需叫貨",MAX(0,ROUNDUP(I49+F49*30-J49,0)),"")</f>
        <v/>
      </c>
      <c r="M49" s="21" t="str">
        <f aca="false">IF(OR(E49="",F49=""),"",E49*F49*365)</f>
        <v/>
      </c>
      <c r="N49" s="22" t="str">
        <f aca="false">IF(M49="","",SUMIF($M$5:$M$104,"&gt;="&amp;M49)/SUM($M$5:$M$104))</f>
        <v/>
      </c>
      <c r="O49" s="23" t="str">
        <f aca="false">IF(N49="","",IF(OR(N49&lt;=0.8,M49=MAX($M$5:$M$104)),"A",IF(N49&lt;=0.95,"B","C")))</f>
        <v/>
      </c>
      <c r="P49" s="20" t="str">
        <f aca="false">IF(O49="A","每週",IF(O49="B","每月",IF(O49="C","每季","")))</f>
        <v/>
      </c>
    </row>
    <row r="50" customFormat="false" ht="15" hidden="false" customHeight="false" outlineLevel="0" collapsed="false">
      <c r="A50" s="14"/>
      <c r="B50" s="14"/>
      <c r="C50" s="14"/>
      <c r="D50" s="14"/>
      <c r="E50" s="16"/>
      <c r="F50" s="17"/>
      <c r="G50" s="18"/>
      <c r="H50" s="18"/>
      <c r="I50" s="19" t="str">
        <f aca="false">IF(OR(F50="",G50=""),"",ROUNDUP(F50*(G50+N(H50)),0))</f>
        <v/>
      </c>
      <c r="J50" s="18"/>
      <c r="K50" s="20" t="str">
        <f aca="false">IF(OR(I50="",J50=""),"",IF(J50&lt;=I50,"需叫貨","正常"))</f>
        <v/>
      </c>
      <c r="L50" s="19" t="str">
        <f aca="false">IF(K50="需叫貨",MAX(0,ROUNDUP(I50+F50*30-J50,0)),"")</f>
        <v/>
      </c>
      <c r="M50" s="21" t="str">
        <f aca="false">IF(OR(E50="",F50=""),"",E50*F50*365)</f>
        <v/>
      </c>
      <c r="N50" s="22" t="str">
        <f aca="false">IF(M50="","",SUMIF($M$5:$M$104,"&gt;="&amp;M50)/SUM($M$5:$M$104))</f>
        <v/>
      </c>
      <c r="O50" s="23" t="str">
        <f aca="false">IF(N50="","",IF(OR(N50&lt;=0.8,M50=MAX($M$5:$M$104)),"A",IF(N50&lt;=0.95,"B","C")))</f>
        <v/>
      </c>
      <c r="P50" s="20" t="str">
        <f aca="false">IF(O50="A","每週",IF(O50="B","每月",IF(O50="C","每季","")))</f>
        <v/>
      </c>
    </row>
    <row r="51" customFormat="false" ht="15" hidden="false" customHeight="false" outlineLevel="0" collapsed="false">
      <c r="A51" s="14"/>
      <c r="B51" s="14"/>
      <c r="C51" s="14"/>
      <c r="D51" s="14"/>
      <c r="E51" s="16"/>
      <c r="F51" s="17"/>
      <c r="G51" s="18"/>
      <c r="H51" s="18"/>
      <c r="I51" s="19" t="str">
        <f aca="false">IF(OR(F51="",G51=""),"",ROUNDUP(F51*(G51+N(H51)),0))</f>
        <v/>
      </c>
      <c r="J51" s="18"/>
      <c r="K51" s="20" t="str">
        <f aca="false">IF(OR(I51="",J51=""),"",IF(J51&lt;=I51,"需叫貨","正常"))</f>
        <v/>
      </c>
      <c r="L51" s="19" t="str">
        <f aca="false">IF(K51="需叫貨",MAX(0,ROUNDUP(I51+F51*30-J51,0)),"")</f>
        <v/>
      </c>
      <c r="M51" s="21" t="str">
        <f aca="false">IF(OR(E51="",F51=""),"",E51*F51*365)</f>
        <v/>
      </c>
      <c r="N51" s="22" t="str">
        <f aca="false">IF(M51="","",SUMIF($M$5:$M$104,"&gt;="&amp;M51)/SUM($M$5:$M$104))</f>
        <v/>
      </c>
      <c r="O51" s="23" t="str">
        <f aca="false">IF(N51="","",IF(OR(N51&lt;=0.8,M51=MAX($M$5:$M$104)),"A",IF(N51&lt;=0.95,"B","C")))</f>
        <v/>
      </c>
      <c r="P51" s="20" t="str">
        <f aca="false">IF(O51="A","每週",IF(O51="B","每月",IF(O51="C","每季","")))</f>
        <v/>
      </c>
    </row>
    <row r="52" customFormat="false" ht="15" hidden="false" customHeight="false" outlineLevel="0" collapsed="false">
      <c r="A52" s="14"/>
      <c r="B52" s="14"/>
      <c r="C52" s="14"/>
      <c r="D52" s="14"/>
      <c r="E52" s="16"/>
      <c r="F52" s="17"/>
      <c r="G52" s="18"/>
      <c r="H52" s="18"/>
      <c r="I52" s="19" t="str">
        <f aca="false">IF(OR(F52="",G52=""),"",ROUNDUP(F52*(G52+N(H52)),0))</f>
        <v/>
      </c>
      <c r="J52" s="18"/>
      <c r="K52" s="20" t="str">
        <f aca="false">IF(OR(I52="",J52=""),"",IF(J52&lt;=I52,"需叫貨","正常"))</f>
        <v/>
      </c>
      <c r="L52" s="19" t="str">
        <f aca="false">IF(K52="需叫貨",MAX(0,ROUNDUP(I52+F52*30-J52,0)),"")</f>
        <v/>
      </c>
      <c r="M52" s="21" t="str">
        <f aca="false">IF(OR(E52="",F52=""),"",E52*F52*365)</f>
        <v/>
      </c>
      <c r="N52" s="22" t="str">
        <f aca="false">IF(M52="","",SUMIF($M$5:$M$104,"&gt;="&amp;M52)/SUM($M$5:$M$104))</f>
        <v/>
      </c>
      <c r="O52" s="23" t="str">
        <f aca="false">IF(N52="","",IF(OR(N52&lt;=0.8,M52=MAX($M$5:$M$104)),"A",IF(N52&lt;=0.95,"B","C")))</f>
        <v/>
      </c>
      <c r="P52" s="20" t="str">
        <f aca="false">IF(O52="A","每週",IF(O52="B","每月",IF(O52="C","每季","")))</f>
        <v/>
      </c>
    </row>
    <row r="53" customFormat="false" ht="15" hidden="false" customHeight="false" outlineLevel="0" collapsed="false">
      <c r="A53" s="14"/>
      <c r="B53" s="14"/>
      <c r="C53" s="14"/>
      <c r="D53" s="14"/>
      <c r="E53" s="16"/>
      <c r="F53" s="17"/>
      <c r="G53" s="18"/>
      <c r="H53" s="18"/>
      <c r="I53" s="19" t="str">
        <f aca="false">IF(OR(F53="",G53=""),"",ROUNDUP(F53*(G53+N(H53)),0))</f>
        <v/>
      </c>
      <c r="J53" s="18"/>
      <c r="K53" s="20" t="str">
        <f aca="false">IF(OR(I53="",J53=""),"",IF(J53&lt;=I53,"需叫貨","正常"))</f>
        <v/>
      </c>
      <c r="L53" s="19" t="str">
        <f aca="false">IF(K53="需叫貨",MAX(0,ROUNDUP(I53+F53*30-J53,0)),"")</f>
        <v/>
      </c>
      <c r="M53" s="21" t="str">
        <f aca="false">IF(OR(E53="",F53=""),"",E53*F53*365)</f>
        <v/>
      </c>
      <c r="N53" s="22" t="str">
        <f aca="false">IF(M53="","",SUMIF($M$5:$M$104,"&gt;="&amp;M53)/SUM($M$5:$M$104))</f>
        <v/>
      </c>
      <c r="O53" s="23" t="str">
        <f aca="false">IF(N53="","",IF(OR(N53&lt;=0.8,M53=MAX($M$5:$M$104)),"A",IF(N53&lt;=0.95,"B","C")))</f>
        <v/>
      </c>
      <c r="P53" s="20" t="str">
        <f aca="false">IF(O53="A","每週",IF(O53="B","每月",IF(O53="C","每季","")))</f>
        <v/>
      </c>
    </row>
    <row r="54" customFormat="false" ht="15" hidden="false" customHeight="false" outlineLevel="0" collapsed="false">
      <c r="A54" s="14"/>
      <c r="B54" s="14"/>
      <c r="C54" s="14"/>
      <c r="D54" s="14"/>
      <c r="E54" s="16"/>
      <c r="F54" s="17"/>
      <c r="G54" s="18"/>
      <c r="H54" s="18"/>
      <c r="I54" s="19" t="str">
        <f aca="false">IF(OR(F54="",G54=""),"",ROUNDUP(F54*(G54+N(H54)),0))</f>
        <v/>
      </c>
      <c r="J54" s="18"/>
      <c r="K54" s="20" t="str">
        <f aca="false">IF(OR(I54="",J54=""),"",IF(J54&lt;=I54,"需叫貨","正常"))</f>
        <v/>
      </c>
      <c r="L54" s="19" t="str">
        <f aca="false">IF(K54="需叫貨",MAX(0,ROUNDUP(I54+F54*30-J54,0)),"")</f>
        <v/>
      </c>
      <c r="M54" s="21" t="str">
        <f aca="false">IF(OR(E54="",F54=""),"",E54*F54*365)</f>
        <v/>
      </c>
      <c r="N54" s="22" t="str">
        <f aca="false">IF(M54="","",SUMIF($M$5:$M$104,"&gt;="&amp;M54)/SUM($M$5:$M$104))</f>
        <v/>
      </c>
      <c r="O54" s="23" t="str">
        <f aca="false">IF(N54="","",IF(OR(N54&lt;=0.8,M54=MAX($M$5:$M$104)),"A",IF(N54&lt;=0.95,"B","C")))</f>
        <v/>
      </c>
      <c r="P54" s="20" t="str">
        <f aca="false">IF(O54="A","每週",IF(O54="B","每月",IF(O54="C","每季","")))</f>
        <v/>
      </c>
    </row>
    <row r="55" customFormat="false" ht="15" hidden="false" customHeight="false" outlineLevel="0" collapsed="false">
      <c r="A55" s="14"/>
      <c r="B55" s="14"/>
      <c r="C55" s="14"/>
      <c r="D55" s="14"/>
      <c r="E55" s="16"/>
      <c r="F55" s="17"/>
      <c r="G55" s="18"/>
      <c r="H55" s="18"/>
      <c r="I55" s="19" t="str">
        <f aca="false">IF(OR(F55="",G55=""),"",ROUNDUP(F55*(G55+N(H55)),0))</f>
        <v/>
      </c>
      <c r="J55" s="18"/>
      <c r="K55" s="20" t="str">
        <f aca="false">IF(OR(I55="",J55=""),"",IF(J55&lt;=I55,"需叫貨","正常"))</f>
        <v/>
      </c>
      <c r="L55" s="19" t="str">
        <f aca="false">IF(K55="需叫貨",MAX(0,ROUNDUP(I55+F55*30-J55,0)),"")</f>
        <v/>
      </c>
      <c r="M55" s="21" t="str">
        <f aca="false">IF(OR(E55="",F55=""),"",E55*F55*365)</f>
        <v/>
      </c>
      <c r="N55" s="22" t="str">
        <f aca="false">IF(M55="","",SUMIF($M$5:$M$104,"&gt;="&amp;M55)/SUM($M$5:$M$104))</f>
        <v/>
      </c>
      <c r="O55" s="23" t="str">
        <f aca="false">IF(N55="","",IF(OR(N55&lt;=0.8,M55=MAX($M$5:$M$104)),"A",IF(N55&lt;=0.95,"B","C")))</f>
        <v/>
      </c>
      <c r="P55" s="20" t="str">
        <f aca="false">IF(O55="A","每週",IF(O55="B","每月",IF(O55="C","每季","")))</f>
        <v/>
      </c>
    </row>
    <row r="56" customFormat="false" ht="15" hidden="false" customHeight="false" outlineLevel="0" collapsed="false">
      <c r="A56" s="14"/>
      <c r="B56" s="14"/>
      <c r="C56" s="14"/>
      <c r="D56" s="14"/>
      <c r="E56" s="16"/>
      <c r="F56" s="17"/>
      <c r="G56" s="18"/>
      <c r="H56" s="18"/>
      <c r="I56" s="19" t="str">
        <f aca="false">IF(OR(F56="",G56=""),"",ROUNDUP(F56*(G56+N(H56)),0))</f>
        <v/>
      </c>
      <c r="J56" s="18"/>
      <c r="K56" s="20" t="str">
        <f aca="false">IF(OR(I56="",J56=""),"",IF(J56&lt;=I56,"需叫貨","正常"))</f>
        <v/>
      </c>
      <c r="L56" s="19" t="str">
        <f aca="false">IF(K56="需叫貨",MAX(0,ROUNDUP(I56+F56*30-J56,0)),"")</f>
        <v/>
      </c>
      <c r="M56" s="21" t="str">
        <f aca="false">IF(OR(E56="",F56=""),"",E56*F56*365)</f>
        <v/>
      </c>
      <c r="N56" s="22" t="str">
        <f aca="false">IF(M56="","",SUMIF($M$5:$M$104,"&gt;="&amp;M56)/SUM($M$5:$M$104))</f>
        <v/>
      </c>
      <c r="O56" s="23" t="str">
        <f aca="false">IF(N56="","",IF(OR(N56&lt;=0.8,M56=MAX($M$5:$M$104)),"A",IF(N56&lt;=0.95,"B","C")))</f>
        <v/>
      </c>
      <c r="P56" s="20" t="str">
        <f aca="false">IF(O56="A","每週",IF(O56="B","每月",IF(O56="C","每季","")))</f>
        <v/>
      </c>
    </row>
    <row r="57" customFormat="false" ht="15" hidden="false" customHeight="false" outlineLevel="0" collapsed="false">
      <c r="A57" s="14"/>
      <c r="B57" s="14"/>
      <c r="C57" s="14"/>
      <c r="D57" s="14"/>
      <c r="E57" s="16"/>
      <c r="F57" s="17"/>
      <c r="G57" s="18"/>
      <c r="H57" s="18"/>
      <c r="I57" s="19" t="str">
        <f aca="false">IF(OR(F57="",G57=""),"",ROUNDUP(F57*(G57+N(H57)),0))</f>
        <v/>
      </c>
      <c r="J57" s="18"/>
      <c r="K57" s="20" t="str">
        <f aca="false">IF(OR(I57="",J57=""),"",IF(J57&lt;=I57,"需叫貨","正常"))</f>
        <v/>
      </c>
      <c r="L57" s="19" t="str">
        <f aca="false">IF(K57="需叫貨",MAX(0,ROUNDUP(I57+F57*30-J57,0)),"")</f>
        <v/>
      </c>
      <c r="M57" s="21" t="str">
        <f aca="false">IF(OR(E57="",F57=""),"",E57*F57*365)</f>
        <v/>
      </c>
      <c r="N57" s="22" t="str">
        <f aca="false">IF(M57="","",SUMIF($M$5:$M$104,"&gt;="&amp;M57)/SUM($M$5:$M$104))</f>
        <v/>
      </c>
      <c r="O57" s="23" t="str">
        <f aca="false">IF(N57="","",IF(OR(N57&lt;=0.8,M57=MAX($M$5:$M$104)),"A",IF(N57&lt;=0.95,"B","C")))</f>
        <v/>
      </c>
      <c r="P57" s="20" t="str">
        <f aca="false">IF(O57="A","每週",IF(O57="B","每月",IF(O57="C","每季","")))</f>
        <v/>
      </c>
    </row>
    <row r="58" customFormat="false" ht="15" hidden="false" customHeight="false" outlineLevel="0" collapsed="false">
      <c r="A58" s="14"/>
      <c r="B58" s="14"/>
      <c r="C58" s="14"/>
      <c r="D58" s="14"/>
      <c r="E58" s="16"/>
      <c r="F58" s="17"/>
      <c r="G58" s="18"/>
      <c r="H58" s="18"/>
      <c r="I58" s="19" t="str">
        <f aca="false">IF(OR(F58="",G58=""),"",ROUNDUP(F58*(G58+N(H58)),0))</f>
        <v/>
      </c>
      <c r="J58" s="18"/>
      <c r="K58" s="20" t="str">
        <f aca="false">IF(OR(I58="",J58=""),"",IF(J58&lt;=I58,"需叫貨","正常"))</f>
        <v/>
      </c>
      <c r="L58" s="19" t="str">
        <f aca="false">IF(K58="需叫貨",MAX(0,ROUNDUP(I58+F58*30-J58,0)),"")</f>
        <v/>
      </c>
      <c r="M58" s="21" t="str">
        <f aca="false">IF(OR(E58="",F58=""),"",E58*F58*365)</f>
        <v/>
      </c>
      <c r="N58" s="22" t="str">
        <f aca="false">IF(M58="","",SUMIF($M$5:$M$104,"&gt;="&amp;M58)/SUM($M$5:$M$104))</f>
        <v/>
      </c>
      <c r="O58" s="23" t="str">
        <f aca="false">IF(N58="","",IF(OR(N58&lt;=0.8,M58=MAX($M$5:$M$104)),"A",IF(N58&lt;=0.95,"B","C")))</f>
        <v/>
      </c>
      <c r="P58" s="20" t="str">
        <f aca="false">IF(O58="A","每週",IF(O58="B","每月",IF(O58="C","每季","")))</f>
        <v/>
      </c>
    </row>
    <row r="59" customFormat="false" ht="15" hidden="false" customHeight="false" outlineLevel="0" collapsed="false">
      <c r="A59" s="14"/>
      <c r="B59" s="14"/>
      <c r="C59" s="14"/>
      <c r="D59" s="14"/>
      <c r="E59" s="16"/>
      <c r="F59" s="17"/>
      <c r="G59" s="18"/>
      <c r="H59" s="18"/>
      <c r="I59" s="19" t="str">
        <f aca="false">IF(OR(F59="",G59=""),"",ROUNDUP(F59*(G59+N(H59)),0))</f>
        <v/>
      </c>
      <c r="J59" s="18"/>
      <c r="K59" s="20" t="str">
        <f aca="false">IF(OR(I59="",J59=""),"",IF(J59&lt;=I59,"需叫貨","正常"))</f>
        <v/>
      </c>
      <c r="L59" s="19" t="str">
        <f aca="false">IF(K59="需叫貨",MAX(0,ROUNDUP(I59+F59*30-J59,0)),"")</f>
        <v/>
      </c>
      <c r="M59" s="21" t="str">
        <f aca="false">IF(OR(E59="",F59=""),"",E59*F59*365)</f>
        <v/>
      </c>
      <c r="N59" s="22" t="str">
        <f aca="false">IF(M59="","",SUMIF($M$5:$M$104,"&gt;="&amp;M59)/SUM($M$5:$M$104))</f>
        <v/>
      </c>
      <c r="O59" s="23" t="str">
        <f aca="false">IF(N59="","",IF(OR(N59&lt;=0.8,M59=MAX($M$5:$M$104)),"A",IF(N59&lt;=0.95,"B","C")))</f>
        <v/>
      </c>
      <c r="P59" s="20" t="str">
        <f aca="false">IF(O59="A","每週",IF(O59="B","每月",IF(O59="C","每季","")))</f>
        <v/>
      </c>
    </row>
    <row r="60" customFormat="false" ht="15" hidden="false" customHeight="false" outlineLevel="0" collapsed="false">
      <c r="A60" s="14"/>
      <c r="B60" s="14"/>
      <c r="C60" s="14"/>
      <c r="D60" s="14"/>
      <c r="E60" s="16"/>
      <c r="F60" s="17"/>
      <c r="G60" s="18"/>
      <c r="H60" s="18"/>
      <c r="I60" s="19" t="str">
        <f aca="false">IF(OR(F60="",G60=""),"",ROUNDUP(F60*(G60+N(H60)),0))</f>
        <v/>
      </c>
      <c r="J60" s="18"/>
      <c r="K60" s="20" t="str">
        <f aca="false">IF(OR(I60="",J60=""),"",IF(J60&lt;=I60,"需叫貨","正常"))</f>
        <v/>
      </c>
      <c r="L60" s="19" t="str">
        <f aca="false">IF(K60="需叫貨",MAX(0,ROUNDUP(I60+F60*30-J60,0)),"")</f>
        <v/>
      </c>
      <c r="M60" s="21" t="str">
        <f aca="false">IF(OR(E60="",F60=""),"",E60*F60*365)</f>
        <v/>
      </c>
      <c r="N60" s="22" t="str">
        <f aca="false">IF(M60="","",SUMIF($M$5:$M$104,"&gt;="&amp;M60)/SUM($M$5:$M$104))</f>
        <v/>
      </c>
      <c r="O60" s="23" t="str">
        <f aca="false">IF(N60="","",IF(OR(N60&lt;=0.8,M60=MAX($M$5:$M$104)),"A",IF(N60&lt;=0.95,"B","C")))</f>
        <v/>
      </c>
      <c r="P60" s="20" t="str">
        <f aca="false">IF(O60="A","每週",IF(O60="B","每月",IF(O60="C","每季","")))</f>
        <v/>
      </c>
    </row>
    <row r="61" customFormat="false" ht="15" hidden="false" customHeight="false" outlineLevel="0" collapsed="false">
      <c r="A61" s="14"/>
      <c r="B61" s="14"/>
      <c r="C61" s="14"/>
      <c r="D61" s="14"/>
      <c r="E61" s="16"/>
      <c r="F61" s="17"/>
      <c r="G61" s="18"/>
      <c r="H61" s="18"/>
      <c r="I61" s="19" t="str">
        <f aca="false">IF(OR(F61="",G61=""),"",ROUNDUP(F61*(G61+N(H61)),0))</f>
        <v/>
      </c>
      <c r="J61" s="18"/>
      <c r="K61" s="20" t="str">
        <f aca="false">IF(OR(I61="",J61=""),"",IF(J61&lt;=I61,"需叫貨","正常"))</f>
        <v/>
      </c>
      <c r="L61" s="19" t="str">
        <f aca="false">IF(K61="需叫貨",MAX(0,ROUNDUP(I61+F61*30-J61,0)),"")</f>
        <v/>
      </c>
      <c r="M61" s="21" t="str">
        <f aca="false">IF(OR(E61="",F61=""),"",E61*F61*365)</f>
        <v/>
      </c>
      <c r="N61" s="22" t="str">
        <f aca="false">IF(M61="","",SUMIF($M$5:$M$104,"&gt;="&amp;M61)/SUM($M$5:$M$104))</f>
        <v/>
      </c>
      <c r="O61" s="23" t="str">
        <f aca="false">IF(N61="","",IF(OR(N61&lt;=0.8,M61=MAX($M$5:$M$104)),"A",IF(N61&lt;=0.95,"B","C")))</f>
        <v/>
      </c>
      <c r="P61" s="20" t="str">
        <f aca="false">IF(O61="A","每週",IF(O61="B","每月",IF(O61="C","每季","")))</f>
        <v/>
      </c>
    </row>
    <row r="62" customFormat="false" ht="15" hidden="false" customHeight="false" outlineLevel="0" collapsed="false">
      <c r="A62" s="14"/>
      <c r="B62" s="14"/>
      <c r="C62" s="14"/>
      <c r="D62" s="14"/>
      <c r="E62" s="16"/>
      <c r="F62" s="17"/>
      <c r="G62" s="18"/>
      <c r="H62" s="18"/>
      <c r="I62" s="19" t="str">
        <f aca="false">IF(OR(F62="",G62=""),"",ROUNDUP(F62*(G62+N(H62)),0))</f>
        <v/>
      </c>
      <c r="J62" s="18"/>
      <c r="K62" s="20" t="str">
        <f aca="false">IF(OR(I62="",J62=""),"",IF(J62&lt;=I62,"需叫貨","正常"))</f>
        <v/>
      </c>
      <c r="L62" s="19" t="str">
        <f aca="false">IF(K62="需叫貨",MAX(0,ROUNDUP(I62+F62*30-J62,0)),"")</f>
        <v/>
      </c>
      <c r="M62" s="21" t="str">
        <f aca="false">IF(OR(E62="",F62=""),"",E62*F62*365)</f>
        <v/>
      </c>
      <c r="N62" s="22" t="str">
        <f aca="false">IF(M62="","",SUMIF($M$5:$M$104,"&gt;="&amp;M62)/SUM($M$5:$M$104))</f>
        <v/>
      </c>
      <c r="O62" s="23" t="str">
        <f aca="false">IF(N62="","",IF(OR(N62&lt;=0.8,M62=MAX($M$5:$M$104)),"A",IF(N62&lt;=0.95,"B","C")))</f>
        <v/>
      </c>
      <c r="P62" s="20" t="str">
        <f aca="false">IF(O62="A","每週",IF(O62="B","每月",IF(O62="C","每季","")))</f>
        <v/>
      </c>
    </row>
    <row r="63" customFormat="false" ht="15" hidden="false" customHeight="false" outlineLevel="0" collapsed="false">
      <c r="A63" s="14"/>
      <c r="B63" s="14"/>
      <c r="C63" s="14"/>
      <c r="D63" s="14"/>
      <c r="E63" s="16"/>
      <c r="F63" s="17"/>
      <c r="G63" s="18"/>
      <c r="H63" s="18"/>
      <c r="I63" s="19" t="str">
        <f aca="false">IF(OR(F63="",G63=""),"",ROUNDUP(F63*(G63+N(H63)),0))</f>
        <v/>
      </c>
      <c r="J63" s="18"/>
      <c r="K63" s="20" t="str">
        <f aca="false">IF(OR(I63="",J63=""),"",IF(J63&lt;=I63,"需叫貨","正常"))</f>
        <v/>
      </c>
      <c r="L63" s="19" t="str">
        <f aca="false">IF(K63="需叫貨",MAX(0,ROUNDUP(I63+F63*30-J63,0)),"")</f>
        <v/>
      </c>
      <c r="M63" s="21" t="str">
        <f aca="false">IF(OR(E63="",F63=""),"",E63*F63*365)</f>
        <v/>
      </c>
      <c r="N63" s="22" t="str">
        <f aca="false">IF(M63="","",SUMIF($M$5:$M$104,"&gt;="&amp;M63)/SUM($M$5:$M$104))</f>
        <v/>
      </c>
      <c r="O63" s="23" t="str">
        <f aca="false">IF(N63="","",IF(OR(N63&lt;=0.8,M63=MAX($M$5:$M$104)),"A",IF(N63&lt;=0.95,"B","C")))</f>
        <v/>
      </c>
      <c r="P63" s="20" t="str">
        <f aca="false">IF(O63="A","每週",IF(O63="B","每月",IF(O63="C","每季","")))</f>
        <v/>
      </c>
    </row>
    <row r="64" customFormat="false" ht="15" hidden="false" customHeight="false" outlineLevel="0" collapsed="false">
      <c r="A64" s="14"/>
      <c r="B64" s="14"/>
      <c r="C64" s="14"/>
      <c r="D64" s="14"/>
      <c r="E64" s="16"/>
      <c r="F64" s="17"/>
      <c r="G64" s="18"/>
      <c r="H64" s="18"/>
      <c r="I64" s="19" t="str">
        <f aca="false">IF(OR(F64="",G64=""),"",ROUNDUP(F64*(G64+N(H64)),0))</f>
        <v/>
      </c>
      <c r="J64" s="18"/>
      <c r="K64" s="20" t="str">
        <f aca="false">IF(OR(I64="",J64=""),"",IF(J64&lt;=I64,"需叫貨","正常"))</f>
        <v/>
      </c>
      <c r="L64" s="19" t="str">
        <f aca="false">IF(K64="需叫貨",MAX(0,ROUNDUP(I64+F64*30-J64,0)),"")</f>
        <v/>
      </c>
      <c r="M64" s="21" t="str">
        <f aca="false">IF(OR(E64="",F64=""),"",E64*F64*365)</f>
        <v/>
      </c>
      <c r="N64" s="22" t="str">
        <f aca="false">IF(M64="","",SUMIF($M$5:$M$104,"&gt;="&amp;M64)/SUM($M$5:$M$104))</f>
        <v/>
      </c>
      <c r="O64" s="23" t="str">
        <f aca="false">IF(N64="","",IF(OR(N64&lt;=0.8,M64=MAX($M$5:$M$104)),"A",IF(N64&lt;=0.95,"B","C")))</f>
        <v/>
      </c>
      <c r="P64" s="20" t="str">
        <f aca="false">IF(O64="A","每週",IF(O64="B","每月",IF(O64="C","每季","")))</f>
        <v/>
      </c>
    </row>
    <row r="65" customFormat="false" ht="15" hidden="false" customHeight="false" outlineLevel="0" collapsed="false">
      <c r="A65" s="14"/>
      <c r="B65" s="14"/>
      <c r="C65" s="14"/>
      <c r="D65" s="14"/>
      <c r="E65" s="16"/>
      <c r="F65" s="17"/>
      <c r="G65" s="18"/>
      <c r="H65" s="18"/>
      <c r="I65" s="19" t="str">
        <f aca="false">IF(OR(F65="",G65=""),"",ROUNDUP(F65*(G65+N(H65)),0))</f>
        <v/>
      </c>
      <c r="J65" s="18"/>
      <c r="K65" s="20" t="str">
        <f aca="false">IF(OR(I65="",J65=""),"",IF(J65&lt;=I65,"需叫貨","正常"))</f>
        <v/>
      </c>
      <c r="L65" s="19" t="str">
        <f aca="false">IF(K65="需叫貨",MAX(0,ROUNDUP(I65+F65*30-J65,0)),"")</f>
        <v/>
      </c>
      <c r="M65" s="21" t="str">
        <f aca="false">IF(OR(E65="",F65=""),"",E65*F65*365)</f>
        <v/>
      </c>
      <c r="N65" s="22" t="str">
        <f aca="false">IF(M65="","",SUMIF($M$5:$M$104,"&gt;="&amp;M65)/SUM($M$5:$M$104))</f>
        <v/>
      </c>
      <c r="O65" s="23" t="str">
        <f aca="false">IF(N65="","",IF(OR(N65&lt;=0.8,M65=MAX($M$5:$M$104)),"A",IF(N65&lt;=0.95,"B","C")))</f>
        <v/>
      </c>
      <c r="P65" s="20" t="str">
        <f aca="false">IF(O65="A","每週",IF(O65="B","每月",IF(O65="C","每季","")))</f>
        <v/>
      </c>
    </row>
    <row r="66" customFormat="false" ht="15" hidden="false" customHeight="false" outlineLevel="0" collapsed="false">
      <c r="A66" s="14"/>
      <c r="B66" s="14"/>
      <c r="C66" s="14"/>
      <c r="D66" s="14"/>
      <c r="E66" s="16"/>
      <c r="F66" s="17"/>
      <c r="G66" s="18"/>
      <c r="H66" s="18"/>
      <c r="I66" s="19" t="str">
        <f aca="false">IF(OR(F66="",G66=""),"",ROUNDUP(F66*(G66+N(H66)),0))</f>
        <v/>
      </c>
      <c r="J66" s="18"/>
      <c r="K66" s="20" t="str">
        <f aca="false">IF(OR(I66="",J66=""),"",IF(J66&lt;=I66,"需叫貨","正常"))</f>
        <v/>
      </c>
      <c r="L66" s="19" t="str">
        <f aca="false">IF(K66="需叫貨",MAX(0,ROUNDUP(I66+F66*30-J66,0)),"")</f>
        <v/>
      </c>
      <c r="M66" s="21" t="str">
        <f aca="false">IF(OR(E66="",F66=""),"",E66*F66*365)</f>
        <v/>
      </c>
      <c r="N66" s="22" t="str">
        <f aca="false">IF(M66="","",SUMIF($M$5:$M$104,"&gt;="&amp;M66)/SUM($M$5:$M$104))</f>
        <v/>
      </c>
      <c r="O66" s="23" t="str">
        <f aca="false">IF(N66="","",IF(OR(N66&lt;=0.8,M66=MAX($M$5:$M$104)),"A",IF(N66&lt;=0.95,"B","C")))</f>
        <v/>
      </c>
      <c r="P66" s="20" t="str">
        <f aca="false">IF(O66="A","每週",IF(O66="B","每月",IF(O66="C","每季","")))</f>
        <v/>
      </c>
    </row>
    <row r="67" customFormat="false" ht="15" hidden="false" customHeight="false" outlineLevel="0" collapsed="false">
      <c r="A67" s="14"/>
      <c r="B67" s="14"/>
      <c r="C67" s="14"/>
      <c r="D67" s="14"/>
      <c r="E67" s="16"/>
      <c r="F67" s="17"/>
      <c r="G67" s="18"/>
      <c r="H67" s="18"/>
      <c r="I67" s="19" t="str">
        <f aca="false">IF(OR(F67="",G67=""),"",ROUNDUP(F67*(G67+N(H67)),0))</f>
        <v/>
      </c>
      <c r="J67" s="18"/>
      <c r="K67" s="20" t="str">
        <f aca="false">IF(OR(I67="",J67=""),"",IF(J67&lt;=I67,"需叫貨","正常"))</f>
        <v/>
      </c>
      <c r="L67" s="19" t="str">
        <f aca="false">IF(K67="需叫貨",MAX(0,ROUNDUP(I67+F67*30-J67,0)),"")</f>
        <v/>
      </c>
      <c r="M67" s="21" t="str">
        <f aca="false">IF(OR(E67="",F67=""),"",E67*F67*365)</f>
        <v/>
      </c>
      <c r="N67" s="22" t="str">
        <f aca="false">IF(M67="","",SUMIF($M$5:$M$104,"&gt;="&amp;M67)/SUM($M$5:$M$104))</f>
        <v/>
      </c>
      <c r="O67" s="23" t="str">
        <f aca="false">IF(N67="","",IF(OR(N67&lt;=0.8,M67=MAX($M$5:$M$104)),"A",IF(N67&lt;=0.95,"B","C")))</f>
        <v/>
      </c>
      <c r="P67" s="20" t="str">
        <f aca="false">IF(O67="A","每週",IF(O67="B","每月",IF(O67="C","每季","")))</f>
        <v/>
      </c>
    </row>
    <row r="68" customFormat="false" ht="15" hidden="false" customHeight="false" outlineLevel="0" collapsed="false">
      <c r="A68" s="14"/>
      <c r="B68" s="14"/>
      <c r="C68" s="14"/>
      <c r="D68" s="14"/>
      <c r="E68" s="16"/>
      <c r="F68" s="17"/>
      <c r="G68" s="18"/>
      <c r="H68" s="18"/>
      <c r="I68" s="19" t="str">
        <f aca="false">IF(OR(F68="",G68=""),"",ROUNDUP(F68*(G68+N(H68)),0))</f>
        <v/>
      </c>
      <c r="J68" s="18"/>
      <c r="K68" s="20" t="str">
        <f aca="false">IF(OR(I68="",J68=""),"",IF(J68&lt;=I68,"需叫貨","正常"))</f>
        <v/>
      </c>
      <c r="L68" s="19" t="str">
        <f aca="false">IF(K68="需叫貨",MAX(0,ROUNDUP(I68+F68*30-J68,0)),"")</f>
        <v/>
      </c>
      <c r="M68" s="21" t="str">
        <f aca="false">IF(OR(E68="",F68=""),"",E68*F68*365)</f>
        <v/>
      </c>
      <c r="N68" s="22" t="str">
        <f aca="false">IF(M68="","",SUMIF($M$5:$M$104,"&gt;="&amp;M68)/SUM($M$5:$M$104))</f>
        <v/>
      </c>
      <c r="O68" s="23" t="str">
        <f aca="false">IF(N68="","",IF(OR(N68&lt;=0.8,M68=MAX($M$5:$M$104)),"A",IF(N68&lt;=0.95,"B","C")))</f>
        <v/>
      </c>
      <c r="P68" s="20" t="str">
        <f aca="false">IF(O68="A","每週",IF(O68="B","每月",IF(O68="C","每季","")))</f>
        <v/>
      </c>
    </row>
    <row r="69" customFormat="false" ht="15" hidden="false" customHeight="false" outlineLevel="0" collapsed="false">
      <c r="A69" s="14"/>
      <c r="B69" s="14"/>
      <c r="C69" s="14"/>
      <c r="D69" s="14"/>
      <c r="E69" s="16"/>
      <c r="F69" s="17"/>
      <c r="G69" s="18"/>
      <c r="H69" s="18"/>
      <c r="I69" s="19" t="str">
        <f aca="false">IF(OR(F69="",G69=""),"",ROUNDUP(F69*(G69+N(H69)),0))</f>
        <v/>
      </c>
      <c r="J69" s="18"/>
      <c r="K69" s="20" t="str">
        <f aca="false">IF(OR(I69="",J69=""),"",IF(J69&lt;=I69,"需叫貨","正常"))</f>
        <v/>
      </c>
      <c r="L69" s="19" t="str">
        <f aca="false">IF(K69="需叫貨",MAX(0,ROUNDUP(I69+F69*30-J69,0)),"")</f>
        <v/>
      </c>
      <c r="M69" s="21" t="str">
        <f aca="false">IF(OR(E69="",F69=""),"",E69*F69*365)</f>
        <v/>
      </c>
      <c r="N69" s="22" t="str">
        <f aca="false">IF(M69="","",SUMIF($M$5:$M$104,"&gt;="&amp;M69)/SUM($M$5:$M$104))</f>
        <v/>
      </c>
      <c r="O69" s="23" t="str">
        <f aca="false">IF(N69="","",IF(OR(N69&lt;=0.8,M69=MAX($M$5:$M$104)),"A",IF(N69&lt;=0.95,"B","C")))</f>
        <v/>
      </c>
      <c r="P69" s="20" t="str">
        <f aca="false">IF(O69="A","每週",IF(O69="B","每月",IF(O69="C","每季","")))</f>
        <v/>
      </c>
    </row>
    <row r="70" customFormat="false" ht="15" hidden="false" customHeight="false" outlineLevel="0" collapsed="false">
      <c r="A70" s="14"/>
      <c r="B70" s="14"/>
      <c r="C70" s="14"/>
      <c r="D70" s="14"/>
      <c r="E70" s="16"/>
      <c r="F70" s="17"/>
      <c r="G70" s="18"/>
      <c r="H70" s="18"/>
      <c r="I70" s="19" t="str">
        <f aca="false">IF(OR(F70="",G70=""),"",ROUNDUP(F70*(G70+N(H70)),0))</f>
        <v/>
      </c>
      <c r="J70" s="18"/>
      <c r="K70" s="20" t="str">
        <f aca="false">IF(OR(I70="",J70=""),"",IF(J70&lt;=I70,"需叫貨","正常"))</f>
        <v/>
      </c>
      <c r="L70" s="19" t="str">
        <f aca="false">IF(K70="需叫貨",MAX(0,ROUNDUP(I70+F70*30-J70,0)),"")</f>
        <v/>
      </c>
      <c r="M70" s="21" t="str">
        <f aca="false">IF(OR(E70="",F70=""),"",E70*F70*365)</f>
        <v/>
      </c>
      <c r="N70" s="22" t="str">
        <f aca="false">IF(M70="","",SUMIF($M$5:$M$104,"&gt;="&amp;M70)/SUM($M$5:$M$104))</f>
        <v/>
      </c>
      <c r="O70" s="23" t="str">
        <f aca="false">IF(N70="","",IF(OR(N70&lt;=0.8,M70=MAX($M$5:$M$104)),"A",IF(N70&lt;=0.95,"B","C")))</f>
        <v/>
      </c>
      <c r="P70" s="20" t="str">
        <f aca="false">IF(O70="A","每週",IF(O70="B","每月",IF(O70="C","每季","")))</f>
        <v/>
      </c>
    </row>
    <row r="71" customFormat="false" ht="15" hidden="false" customHeight="false" outlineLevel="0" collapsed="false">
      <c r="A71" s="14"/>
      <c r="B71" s="14"/>
      <c r="C71" s="14"/>
      <c r="D71" s="14"/>
      <c r="E71" s="16"/>
      <c r="F71" s="17"/>
      <c r="G71" s="18"/>
      <c r="H71" s="18"/>
      <c r="I71" s="19" t="str">
        <f aca="false">IF(OR(F71="",G71=""),"",ROUNDUP(F71*(G71+N(H71)),0))</f>
        <v/>
      </c>
      <c r="J71" s="18"/>
      <c r="K71" s="20" t="str">
        <f aca="false">IF(OR(I71="",J71=""),"",IF(J71&lt;=I71,"需叫貨","正常"))</f>
        <v/>
      </c>
      <c r="L71" s="19" t="str">
        <f aca="false">IF(K71="需叫貨",MAX(0,ROUNDUP(I71+F71*30-J71,0)),"")</f>
        <v/>
      </c>
      <c r="M71" s="21" t="str">
        <f aca="false">IF(OR(E71="",F71=""),"",E71*F71*365)</f>
        <v/>
      </c>
      <c r="N71" s="22" t="str">
        <f aca="false">IF(M71="","",SUMIF($M$5:$M$104,"&gt;="&amp;M71)/SUM($M$5:$M$104))</f>
        <v/>
      </c>
      <c r="O71" s="23" t="str">
        <f aca="false">IF(N71="","",IF(OR(N71&lt;=0.8,M71=MAX($M$5:$M$104)),"A",IF(N71&lt;=0.95,"B","C")))</f>
        <v/>
      </c>
      <c r="P71" s="20" t="str">
        <f aca="false">IF(O71="A","每週",IF(O71="B","每月",IF(O71="C","每季","")))</f>
        <v/>
      </c>
    </row>
    <row r="72" customFormat="false" ht="15" hidden="false" customHeight="false" outlineLevel="0" collapsed="false">
      <c r="A72" s="14"/>
      <c r="B72" s="14"/>
      <c r="C72" s="14"/>
      <c r="D72" s="14"/>
      <c r="E72" s="16"/>
      <c r="F72" s="17"/>
      <c r="G72" s="18"/>
      <c r="H72" s="18"/>
      <c r="I72" s="19" t="str">
        <f aca="false">IF(OR(F72="",G72=""),"",ROUNDUP(F72*(G72+N(H72)),0))</f>
        <v/>
      </c>
      <c r="J72" s="18"/>
      <c r="K72" s="20" t="str">
        <f aca="false">IF(OR(I72="",J72=""),"",IF(J72&lt;=I72,"需叫貨","正常"))</f>
        <v/>
      </c>
      <c r="L72" s="19" t="str">
        <f aca="false">IF(K72="需叫貨",MAX(0,ROUNDUP(I72+F72*30-J72,0)),"")</f>
        <v/>
      </c>
      <c r="M72" s="21" t="str">
        <f aca="false">IF(OR(E72="",F72=""),"",E72*F72*365)</f>
        <v/>
      </c>
      <c r="N72" s="22" t="str">
        <f aca="false">IF(M72="","",SUMIF($M$5:$M$104,"&gt;="&amp;M72)/SUM($M$5:$M$104))</f>
        <v/>
      </c>
      <c r="O72" s="23" t="str">
        <f aca="false">IF(N72="","",IF(OR(N72&lt;=0.8,M72=MAX($M$5:$M$104)),"A",IF(N72&lt;=0.95,"B","C")))</f>
        <v/>
      </c>
      <c r="P72" s="20" t="str">
        <f aca="false">IF(O72="A","每週",IF(O72="B","每月",IF(O72="C","每季","")))</f>
        <v/>
      </c>
    </row>
    <row r="73" customFormat="false" ht="15" hidden="false" customHeight="false" outlineLevel="0" collapsed="false">
      <c r="A73" s="14"/>
      <c r="B73" s="14"/>
      <c r="C73" s="14"/>
      <c r="D73" s="14"/>
      <c r="E73" s="16"/>
      <c r="F73" s="17"/>
      <c r="G73" s="18"/>
      <c r="H73" s="18"/>
      <c r="I73" s="19" t="str">
        <f aca="false">IF(OR(F73="",G73=""),"",ROUNDUP(F73*(G73+N(H73)),0))</f>
        <v/>
      </c>
      <c r="J73" s="18"/>
      <c r="K73" s="20" t="str">
        <f aca="false">IF(OR(I73="",J73=""),"",IF(J73&lt;=I73,"需叫貨","正常"))</f>
        <v/>
      </c>
      <c r="L73" s="19" t="str">
        <f aca="false">IF(K73="需叫貨",MAX(0,ROUNDUP(I73+F73*30-J73,0)),"")</f>
        <v/>
      </c>
      <c r="M73" s="21" t="str">
        <f aca="false">IF(OR(E73="",F73=""),"",E73*F73*365)</f>
        <v/>
      </c>
      <c r="N73" s="22" t="str">
        <f aca="false">IF(M73="","",SUMIF($M$5:$M$104,"&gt;="&amp;M73)/SUM($M$5:$M$104))</f>
        <v/>
      </c>
      <c r="O73" s="23" t="str">
        <f aca="false">IF(N73="","",IF(OR(N73&lt;=0.8,M73=MAX($M$5:$M$104)),"A",IF(N73&lt;=0.95,"B","C")))</f>
        <v/>
      </c>
      <c r="P73" s="20" t="str">
        <f aca="false">IF(O73="A","每週",IF(O73="B","每月",IF(O73="C","每季","")))</f>
        <v/>
      </c>
    </row>
    <row r="74" customFormat="false" ht="15" hidden="false" customHeight="false" outlineLevel="0" collapsed="false">
      <c r="A74" s="14"/>
      <c r="B74" s="14"/>
      <c r="C74" s="14"/>
      <c r="D74" s="14"/>
      <c r="E74" s="16"/>
      <c r="F74" s="17"/>
      <c r="G74" s="18"/>
      <c r="H74" s="18"/>
      <c r="I74" s="19" t="str">
        <f aca="false">IF(OR(F74="",G74=""),"",ROUNDUP(F74*(G74+N(H74)),0))</f>
        <v/>
      </c>
      <c r="J74" s="18"/>
      <c r="K74" s="20" t="str">
        <f aca="false">IF(OR(I74="",J74=""),"",IF(J74&lt;=I74,"需叫貨","正常"))</f>
        <v/>
      </c>
      <c r="L74" s="19" t="str">
        <f aca="false">IF(K74="需叫貨",MAX(0,ROUNDUP(I74+F74*30-J74,0)),"")</f>
        <v/>
      </c>
      <c r="M74" s="21" t="str">
        <f aca="false">IF(OR(E74="",F74=""),"",E74*F74*365)</f>
        <v/>
      </c>
      <c r="N74" s="22" t="str">
        <f aca="false">IF(M74="","",SUMIF($M$5:$M$104,"&gt;="&amp;M74)/SUM($M$5:$M$104))</f>
        <v/>
      </c>
      <c r="O74" s="23" t="str">
        <f aca="false">IF(N74="","",IF(OR(N74&lt;=0.8,M74=MAX($M$5:$M$104)),"A",IF(N74&lt;=0.95,"B","C")))</f>
        <v/>
      </c>
      <c r="P74" s="20" t="str">
        <f aca="false">IF(O74="A","每週",IF(O74="B","每月",IF(O74="C","每季","")))</f>
        <v/>
      </c>
    </row>
    <row r="75" customFormat="false" ht="15" hidden="false" customHeight="false" outlineLevel="0" collapsed="false">
      <c r="A75" s="14"/>
      <c r="B75" s="14"/>
      <c r="C75" s="14"/>
      <c r="D75" s="14"/>
      <c r="E75" s="16"/>
      <c r="F75" s="17"/>
      <c r="G75" s="18"/>
      <c r="H75" s="18"/>
      <c r="I75" s="19" t="str">
        <f aca="false">IF(OR(F75="",G75=""),"",ROUNDUP(F75*(G75+N(H75)),0))</f>
        <v/>
      </c>
      <c r="J75" s="18"/>
      <c r="K75" s="20" t="str">
        <f aca="false">IF(OR(I75="",J75=""),"",IF(J75&lt;=I75,"需叫貨","正常"))</f>
        <v/>
      </c>
      <c r="L75" s="19" t="str">
        <f aca="false">IF(K75="需叫貨",MAX(0,ROUNDUP(I75+F75*30-J75,0)),"")</f>
        <v/>
      </c>
      <c r="M75" s="21" t="str">
        <f aca="false">IF(OR(E75="",F75=""),"",E75*F75*365)</f>
        <v/>
      </c>
      <c r="N75" s="22" t="str">
        <f aca="false">IF(M75="","",SUMIF($M$5:$M$104,"&gt;="&amp;M75)/SUM($M$5:$M$104))</f>
        <v/>
      </c>
      <c r="O75" s="23" t="str">
        <f aca="false">IF(N75="","",IF(OR(N75&lt;=0.8,M75=MAX($M$5:$M$104)),"A",IF(N75&lt;=0.95,"B","C")))</f>
        <v/>
      </c>
      <c r="P75" s="20" t="str">
        <f aca="false">IF(O75="A","每週",IF(O75="B","每月",IF(O75="C","每季","")))</f>
        <v/>
      </c>
    </row>
    <row r="76" customFormat="false" ht="15" hidden="false" customHeight="false" outlineLevel="0" collapsed="false">
      <c r="A76" s="14"/>
      <c r="B76" s="14"/>
      <c r="C76" s="14"/>
      <c r="D76" s="14"/>
      <c r="E76" s="16"/>
      <c r="F76" s="17"/>
      <c r="G76" s="18"/>
      <c r="H76" s="18"/>
      <c r="I76" s="19" t="str">
        <f aca="false">IF(OR(F76="",G76=""),"",ROUNDUP(F76*(G76+N(H76)),0))</f>
        <v/>
      </c>
      <c r="J76" s="18"/>
      <c r="K76" s="20" t="str">
        <f aca="false">IF(OR(I76="",J76=""),"",IF(J76&lt;=I76,"需叫貨","正常"))</f>
        <v/>
      </c>
      <c r="L76" s="19" t="str">
        <f aca="false">IF(K76="需叫貨",MAX(0,ROUNDUP(I76+F76*30-J76,0)),"")</f>
        <v/>
      </c>
      <c r="M76" s="21" t="str">
        <f aca="false">IF(OR(E76="",F76=""),"",E76*F76*365)</f>
        <v/>
      </c>
      <c r="N76" s="22" t="str">
        <f aca="false">IF(M76="","",SUMIF($M$5:$M$104,"&gt;="&amp;M76)/SUM($M$5:$M$104))</f>
        <v/>
      </c>
      <c r="O76" s="23" t="str">
        <f aca="false">IF(N76="","",IF(OR(N76&lt;=0.8,M76=MAX($M$5:$M$104)),"A",IF(N76&lt;=0.95,"B","C")))</f>
        <v/>
      </c>
      <c r="P76" s="20" t="str">
        <f aca="false">IF(O76="A","每週",IF(O76="B","每月",IF(O76="C","每季","")))</f>
        <v/>
      </c>
    </row>
    <row r="77" customFormat="false" ht="15" hidden="false" customHeight="false" outlineLevel="0" collapsed="false">
      <c r="A77" s="14"/>
      <c r="B77" s="14"/>
      <c r="C77" s="14"/>
      <c r="D77" s="14"/>
      <c r="E77" s="16"/>
      <c r="F77" s="17"/>
      <c r="G77" s="18"/>
      <c r="H77" s="18"/>
      <c r="I77" s="19" t="str">
        <f aca="false">IF(OR(F77="",G77=""),"",ROUNDUP(F77*(G77+N(H77)),0))</f>
        <v/>
      </c>
      <c r="J77" s="18"/>
      <c r="K77" s="20" t="str">
        <f aca="false">IF(OR(I77="",J77=""),"",IF(J77&lt;=I77,"需叫貨","正常"))</f>
        <v/>
      </c>
      <c r="L77" s="19" t="str">
        <f aca="false">IF(K77="需叫貨",MAX(0,ROUNDUP(I77+F77*30-J77,0)),"")</f>
        <v/>
      </c>
      <c r="M77" s="21" t="str">
        <f aca="false">IF(OR(E77="",F77=""),"",E77*F77*365)</f>
        <v/>
      </c>
      <c r="N77" s="22" t="str">
        <f aca="false">IF(M77="","",SUMIF($M$5:$M$104,"&gt;="&amp;M77)/SUM($M$5:$M$104))</f>
        <v/>
      </c>
      <c r="O77" s="23" t="str">
        <f aca="false">IF(N77="","",IF(OR(N77&lt;=0.8,M77=MAX($M$5:$M$104)),"A",IF(N77&lt;=0.95,"B","C")))</f>
        <v/>
      </c>
      <c r="P77" s="20" t="str">
        <f aca="false">IF(O77="A","每週",IF(O77="B","每月",IF(O77="C","每季","")))</f>
        <v/>
      </c>
    </row>
    <row r="78" customFormat="false" ht="15" hidden="false" customHeight="false" outlineLevel="0" collapsed="false">
      <c r="A78" s="14"/>
      <c r="B78" s="14"/>
      <c r="C78" s="14"/>
      <c r="D78" s="14"/>
      <c r="E78" s="16"/>
      <c r="F78" s="17"/>
      <c r="G78" s="18"/>
      <c r="H78" s="18"/>
      <c r="I78" s="19" t="str">
        <f aca="false">IF(OR(F78="",G78=""),"",ROUNDUP(F78*(G78+N(H78)),0))</f>
        <v/>
      </c>
      <c r="J78" s="18"/>
      <c r="K78" s="20" t="str">
        <f aca="false">IF(OR(I78="",J78=""),"",IF(J78&lt;=I78,"需叫貨","正常"))</f>
        <v/>
      </c>
      <c r="L78" s="19" t="str">
        <f aca="false">IF(K78="需叫貨",MAX(0,ROUNDUP(I78+F78*30-J78,0)),"")</f>
        <v/>
      </c>
      <c r="M78" s="21" t="str">
        <f aca="false">IF(OR(E78="",F78=""),"",E78*F78*365)</f>
        <v/>
      </c>
      <c r="N78" s="22" t="str">
        <f aca="false">IF(M78="","",SUMIF($M$5:$M$104,"&gt;="&amp;M78)/SUM($M$5:$M$104))</f>
        <v/>
      </c>
      <c r="O78" s="23" t="str">
        <f aca="false">IF(N78="","",IF(OR(N78&lt;=0.8,M78=MAX($M$5:$M$104)),"A",IF(N78&lt;=0.95,"B","C")))</f>
        <v/>
      </c>
      <c r="P78" s="20" t="str">
        <f aca="false">IF(O78="A","每週",IF(O78="B","每月",IF(O78="C","每季","")))</f>
        <v/>
      </c>
    </row>
    <row r="79" customFormat="false" ht="15" hidden="false" customHeight="false" outlineLevel="0" collapsed="false">
      <c r="A79" s="14"/>
      <c r="B79" s="14"/>
      <c r="C79" s="14"/>
      <c r="D79" s="14"/>
      <c r="E79" s="16"/>
      <c r="F79" s="17"/>
      <c r="G79" s="18"/>
      <c r="H79" s="18"/>
      <c r="I79" s="19" t="str">
        <f aca="false">IF(OR(F79="",G79=""),"",ROUNDUP(F79*(G79+N(H79)),0))</f>
        <v/>
      </c>
      <c r="J79" s="18"/>
      <c r="K79" s="20" t="str">
        <f aca="false">IF(OR(I79="",J79=""),"",IF(J79&lt;=I79,"需叫貨","正常"))</f>
        <v/>
      </c>
      <c r="L79" s="19" t="str">
        <f aca="false">IF(K79="需叫貨",MAX(0,ROUNDUP(I79+F79*30-J79,0)),"")</f>
        <v/>
      </c>
      <c r="M79" s="21" t="str">
        <f aca="false">IF(OR(E79="",F79=""),"",E79*F79*365)</f>
        <v/>
      </c>
      <c r="N79" s="22" t="str">
        <f aca="false">IF(M79="","",SUMIF($M$5:$M$104,"&gt;="&amp;M79)/SUM($M$5:$M$104))</f>
        <v/>
      </c>
      <c r="O79" s="23" t="str">
        <f aca="false">IF(N79="","",IF(OR(N79&lt;=0.8,M79=MAX($M$5:$M$104)),"A",IF(N79&lt;=0.95,"B","C")))</f>
        <v/>
      </c>
      <c r="P79" s="20" t="str">
        <f aca="false">IF(O79="A","每週",IF(O79="B","每月",IF(O79="C","每季","")))</f>
        <v/>
      </c>
    </row>
    <row r="80" customFormat="false" ht="15" hidden="false" customHeight="false" outlineLevel="0" collapsed="false">
      <c r="A80" s="14"/>
      <c r="B80" s="14"/>
      <c r="C80" s="14"/>
      <c r="D80" s="14"/>
      <c r="E80" s="16"/>
      <c r="F80" s="17"/>
      <c r="G80" s="18"/>
      <c r="H80" s="18"/>
      <c r="I80" s="19" t="str">
        <f aca="false">IF(OR(F80="",G80=""),"",ROUNDUP(F80*(G80+N(H80)),0))</f>
        <v/>
      </c>
      <c r="J80" s="18"/>
      <c r="K80" s="20" t="str">
        <f aca="false">IF(OR(I80="",J80=""),"",IF(J80&lt;=I80,"需叫貨","正常"))</f>
        <v/>
      </c>
      <c r="L80" s="19" t="str">
        <f aca="false">IF(K80="需叫貨",MAX(0,ROUNDUP(I80+F80*30-J80,0)),"")</f>
        <v/>
      </c>
      <c r="M80" s="21" t="str">
        <f aca="false">IF(OR(E80="",F80=""),"",E80*F80*365)</f>
        <v/>
      </c>
      <c r="N80" s="22" t="str">
        <f aca="false">IF(M80="","",SUMIF($M$5:$M$104,"&gt;="&amp;M80)/SUM($M$5:$M$104))</f>
        <v/>
      </c>
      <c r="O80" s="23" t="str">
        <f aca="false">IF(N80="","",IF(OR(N80&lt;=0.8,M80=MAX($M$5:$M$104)),"A",IF(N80&lt;=0.95,"B","C")))</f>
        <v/>
      </c>
      <c r="P80" s="20" t="str">
        <f aca="false">IF(O80="A","每週",IF(O80="B","每月",IF(O80="C","每季","")))</f>
        <v/>
      </c>
    </row>
    <row r="81" customFormat="false" ht="15" hidden="false" customHeight="false" outlineLevel="0" collapsed="false">
      <c r="A81" s="14"/>
      <c r="B81" s="14"/>
      <c r="C81" s="14"/>
      <c r="D81" s="14"/>
      <c r="E81" s="16"/>
      <c r="F81" s="17"/>
      <c r="G81" s="18"/>
      <c r="H81" s="18"/>
      <c r="I81" s="19" t="str">
        <f aca="false">IF(OR(F81="",G81=""),"",ROUNDUP(F81*(G81+N(H81)),0))</f>
        <v/>
      </c>
      <c r="J81" s="18"/>
      <c r="K81" s="20" t="str">
        <f aca="false">IF(OR(I81="",J81=""),"",IF(J81&lt;=I81,"需叫貨","正常"))</f>
        <v/>
      </c>
      <c r="L81" s="19" t="str">
        <f aca="false">IF(K81="需叫貨",MAX(0,ROUNDUP(I81+F81*30-J81,0)),"")</f>
        <v/>
      </c>
      <c r="M81" s="21" t="str">
        <f aca="false">IF(OR(E81="",F81=""),"",E81*F81*365)</f>
        <v/>
      </c>
      <c r="N81" s="22" t="str">
        <f aca="false">IF(M81="","",SUMIF($M$5:$M$104,"&gt;="&amp;M81)/SUM($M$5:$M$104))</f>
        <v/>
      </c>
      <c r="O81" s="23" t="str">
        <f aca="false">IF(N81="","",IF(OR(N81&lt;=0.8,M81=MAX($M$5:$M$104)),"A",IF(N81&lt;=0.95,"B","C")))</f>
        <v/>
      </c>
      <c r="P81" s="20" t="str">
        <f aca="false">IF(O81="A","每週",IF(O81="B","每月",IF(O81="C","每季","")))</f>
        <v/>
      </c>
    </row>
    <row r="82" customFormat="false" ht="15" hidden="false" customHeight="false" outlineLevel="0" collapsed="false">
      <c r="A82" s="14"/>
      <c r="B82" s="14"/>
      <c r="C82" s="14"/>
      <c r="D82" s="14"/>
      <c r="E82" s="16"/>
      <c r="F82" s="17"/>
      <c r="G82" s="18"/>
      <c r="H82" s="18"/>
      <c r="I82" s="19" t="str">
        <f aca="false">IF(OR(F82="",G82=""),"",ROUNDUP(F82*(G82+N(H82)),0))</f>
        <v/>
      </c>
      <c r="J82" s="18"/>
      <c r="K82" s="20" t="str">
        <f aca="false">IF(OR(I82="",J82=""),"",IF(J82&lt;=I82,"需叫貨","正常"))</f>
        <v/>
      </c>
      <c r="L82" s="19" t="str">
        <f aca="false">IF(K82="需叫貨",MAX(0,ROUNDUP(I82+F82*30-J82,0)),"")</f>
        <v/>
      </c>
      <c r="M82" s="21" t="str">
        <f aca="false">IF(OR(E82="",F82=""),"",E82*F82*365)</f>
        <v/>
      </c>
      <c r="N82" s="22" t="str">
        <f aca="false">IF(M82="","",SUMIF($M$5:$M$104,"&gt;="&amp;M82)/SUM($M$5:$M$104))</f>
        <v/>
      </c>
      <c r="O82" s="23" t="str">
        <f aca="false">IF(N82="","",IF(OR(N82&lt;=0.8,M82=MAX($M$5:$M$104)),"A",IF(N82&lt;=0.95,"B","C")))</f>
        <v/>
      </c>
      <c r="P82" s="20" t="str">
        <f aca="false">IF(O82="A","每週",IF(O82="B","每月",IF(O82="C","每季","")))</f>
        <v/>
      </c>
    </row>
    <row r="83" customFormat="false" ht="15" hidden="false" customHeight="false" outlineLevel="0" collapsed="false">
      <c r="A83" s="14"/>
      <c r="B83" s="14"/>
      <c r="C83" s="14"/>
      <c r="D83" s="14"/>
      <c r="E83" s="16"/>
      <c r="F83" s="17"/>
      <c r="G83" s="18"/>
      <c r="H83" s="18"/>
      <c r="I83" s="19" t="str">
        <f aca="false">IF(OR(F83="",G83=""),"",ROUNDUP(F83*(G83+N(H83)),0))</f>
        <v/>
      </c>
      <c r="J83" s="18"/>
      <c r="K83" s="20" t="str">
        <f aca="false">IF(OR(I83="",J83=""),"",IF(J83&lt;=I83,"需叫貨","正常"))</f>
        <v/>
      </c>
      <c r="L83" s="19" t="str">
        <f aca="false">IF(K83="需叫貨",MAX(0,ROUNDUP(I83+F83*30-J83,0)),"")</f>
        <v/>
      </c>
      <c r="M83" s="21" t="str">
        <f aca="false">IF(OR(E83="",F83=""),"",E83*F83*365)</f>
        <v/>
      </c>
      <c r="N83" s="22" t="str">
        <f aca="false">IF(M83="","",SUMIF($M$5:$M$104,"&gt;="&amp;M83)/SUM($M$5:$M$104))</f>
        <v/>
      </c>
      <c r="O83" s="23" t="str">
        <f aca="false">IF(N83="","",IF(OR(N83&lt;=0.8,M83=MAX($M$5:$M$104)),"A",IF(N83&lt;=0.95,"B","C")))</f>
        <v/>
      </c>
      <c r="P83" s="20" t="str">
        <f aca="false">IF(O83="A","每週",IF(O83="B","每月",IF(O83="C","每季","")))</f>
        <v/>
      </c>
    </row>
    <row r="84" customFormat="false" ht="15" hidden="false" customHeight="false" outlineLevel="0" collapsed="false">
      <c r="A84" s="14"/>
      <c r="B84" s="14"/>
      <c r="C84" s="14"/>
      <c r="D84" s="14"/>
      <c r="E84" s="16"/>
      <c r="F84" s="17"/>
      <c r="G84" s="18"/>
      <c r="H84" s="18"/>
      <c r="I84" s="19" t="str">
        <f aca="false">IF(OR(F84="",G84=""),"",ROUNDUP(F84*(G84+N(H84)),0))</f>
        <v/>
      </c>
      <c r="J84" s="18"/>
      <c r="K84" s="20" t="str">
        <f aca="false">IF(OR(I84="",J84=""),"",IF(J84&lt;=I84,"需叫貨","正常"))</f>
        <v/>
      </c>
      <c r="L84" s="19" t="str">
        <f aca="false">IF(K84="需叫貨",MAX(0,ROUNDUP(I84+F84*30-J84,0)),"")</f>
        <v/>
      </c>
      <c r="M84" s="21" t="str">
        <f aca="false">IF(OR(E84="",F84=""),"",E84*F84*365)</f>
        <v/>
      </c>
      <c r="N84" s="22" t="str">
        <f aca="false">IF(M84="","",SUMIF($M$5:$M$104,"&gt;="&amp;M84)/SUM($M$5:$M$104))</f>
        <v/>
      </c>
      <c r="O84" s="23" t="str">
        <f aca="false">IF(N84="","",IF(OR(N84&lt;=0.8,M84=MAX($M$5:$M$104)),"A",IF(N84&lt;=0.95,"B","C")))</f>
        <v/>
      </c>
      <c r="P84" s="20" t="str">
        <f aca="false">IF(O84="A","每週",IF(O84="B","每月",IF(O84="C","每季","")))</f>
        <v/>
      </c>
    </row>
    <row r="85" customFormat="false" ht="15" hidden="false" customHeight="false" outlineLevel="0" collapsed="false">
      <c r="A85" s="14"/>
      <c r="B85" s="14"/>
      <c r="C85" s="14"/>
      <c r="D85" s="14"/>
      <c r="E85" s="16"/>
      <c r="F85" s="17"/>
      <c r="G85" s="18"/>
      <c r="H85" s="18"/>
      <c r="I85" s="19" t="str">
        <f aca="false">IF(OR(F85="",G85=""),"",ROUNDUP(F85*(G85+N(H85)),0))</f>
        <v/>
      </c>
      <c r="J85" s="18"/>
      <c r="K85" s="20" t="str">
        <f aca="false">IF(OR(I85="",J85=""),"",IF(J85&lt;=I85,"需叫貨","正常"))</f>
        <v/>
      </c>
      <c r="L85" s="19" t="str">
        <f aca="false">IF(K85="需叫貨",MAX(0,ROUNDUP(I85+F85*30-J85,0)),"")</f>
        <v/>
      </c>
      <c r="M85" s="21" t="str">
        <f aca="false">IF(OR(E85="",F85=""),"",E85*F85*365)</f>
        <v/>
      </c>
      <c r="N85" s="22" t="str">
        <f aca="false">IF(M85="","",SUMIF($M$5:$M$104,"&gt;="&amp;M85)/SUM($M$5:$M$104))</f>
        <v/>
      </c>
      <c r="O85" s="23" t="str">
        <f aca="false">IF(N85="","",IF(OR(N85&lt;=0.8,M85=MAX($M$5:$M$104)),"A",IF(N85&lt;=0.95,"B","C")))</f>
        <v/>
      </c>
      <c r="P85" s="20" t="str">
        <f aca="false">IF(O85="A","每週",IF(O85="B","每月",IF(O85="C","每季","")))</f>
        <v/>
      </c>
    </row>
    <row r="86" customFormat="false" ht="15" hidden="false" customHeight="false" outlineLevel="0" collapsed="false">
      <c r="A86" s="14"/>
      <c r="B86" s="14"/>
      <c r="C86" s="14"/>
      <c r="D86" s="14"/>
      <c r="E86" s="16"/>
      <c r="F86" s="17"/>
      <c r="G86" s="18"/>
      <c r="H86" s="18"/>
      <c r="I86" s="19" t="str">
        <f aca="false">IF(OR(F86="",G86=""),"",ROUNDUP(F86*(G86+N(H86)),0))</f>
        <v/>
      </c>
      <c r="J86" s="18"/>
      <c r="K86" s="20" t="str">
        <f aca="false">IF(OR(I86="",J86=""),"",IF(J86&lt;=I86,"需叫貨","正常"))</f>
        <v/>
      </c>
      <c r="L86" s="19" t="str">
        <f aca="false">IF(K86="需叫貨",MAX(0,ROUNDUP(I86+F86*30-J86,0)),"")</f>
        <v/>
      </c>
      <c r="M86" s="21" t="str">
        <f aca="false">IF(OR(E86="",F86=""),"",E86*F86*365)</f>
        <v/>
      </c>
      <c r="N86" s="22" t="str">
        <f aca="false">IF(M86="","",SUMIF($M$5:$M$104,"&gt;="&amp;M86)/SUM($M$5:$M$104))</f>
        <v/>
      </c>
      <c r="O86" s="23" t="str">
        <f aca="false">IF(N86="","",IF(OR(N86&lt;=0.8,M86=MAX($M$5:$M$104)),"A",IF(N86&lt;=0.95,"B","C")))</f>
        <v/>
      </c>
      <c r="P86" s="20" t="str">
        <f aca="false">IF(O86="A","每週",IF(O86="B","每月",IF(O86="C","每季","")))</f>
        <v/>
      </c>
    </row>
    <row r="87" customFormat="false" ht="15" hidden="false" customHeight="false" outlineLevel="0" collapsed="false">
      <c r="A87" s="14"/>
      <c r="B87" s="14"/>
      <c r="C87" s="14"/>
      <c r="D87" s="14"/>
      <c r="E87" s="16"/>
      <c r="F87" s="17"/>
      <c r="G87" s="18"/>
      <c r="H87" s="18"/>
      <c r="I87" s="19" t="str">
        <f aca="false">IF(OR(F87="",G87=""),"",ROUNDUP(F87*(G87+N(H87)),0))</f>
        <v/>
      </c>
      <c r="J87" s="18"/>
      <c r="K87" s="20" t="str">
        <f aca="false">IF(OR(I87="",J87=""),"",IF(J87&lt;=I87,"需叫貨","正常"))</f>
        <v/>
      </c>
      <c r="L87" s="19" t="str">
        <f aca="false">IF(K87="需叫貨",MAX(0,ROUNDUP(I87+F87*30-J87,0)),"")</f>
        <v/>
      </c>
      <c r="M87" s="21" t="str">
        <f aca="false">IF(OR(E87="",F87=""),"",E87*F87*365)</f>
        <v/>
      </c>
      <c r="N87" s="22" t="str">
        <f aca="false">IF(M87="","",SUMIF($M$5:$M$104,"&gt;="&amp;M87)/SUM($M$5:$M$104))</f>
        <v/>
      </c>
      <c r="O87" s="23" t="str">
        <f aca="false">IF(N87="","",IF(OR(N87&lt;=0.8,M87=MAX($M$5:$M$104)),"A",IF(N87&lt;=0.95,"B","C")))</f>
        <v/>
      </c>
      <c r="P87" s="20" t="str">
        <f aca="false">IF(O87="A","每週",IF(O87="B","每月",IF(O87="C","每季","")))</f>
        <v/>
      </c>
    </row>
    <row r="88" customFormat="false" ht="15" hidden="false" customHeight="false" outlineLevel="0" collapsed="false">
      <c r="A88" s="14"/>
      <c r="B88" s="14"/>
      <c r="C88" s="14"/>
      <c r="D88" s="14"/>
      <c r="E88" s="16"/>
      <c r="F88" s="17"/>
      <c r="G88" s="18"/>
      <c r="H88" s="18"/>
      <c r="I88" s="19" t="str">
        <f aca="false">IF(OR(F88="",G88=""),"",ROUNDUP(F88*(G88+N(H88)),0))</f>
        <v/>
      </c>
      <c r="J88" s="18"/>
      <c r="K88" s="20" t="str">
        <f aca="false">IF(OR(I88="",J88=""),"",IF(J88&lt;=I88,"需叫貨","正常"))</f>
        <v/>
      </c>
      <c r="L88" s="19" t="str">
        <f aca="false">IF(K88="需叫貨",MAX(0,ROUNDUP(I88+F88*30-J88,0)),"")</f>
        <v/>
      </c>
      <c r="M88" s="21" t="str">
        <f aca="false">IF(OR(E88="",F88=""),"",E88*F88*365)</f>
        <v/>
      </c>
      <c r="N88" s="22" t="str">
        <f aca="false">IF(M88="","",SUMIF($M$5:$M$104,"&gt;="&amp;M88)/SUM($M$5:$M$104))</f>
        <v/>
      </c>
      <c r="O88" s="23" t="str">
        <f aca="false">IF(N88="","",IF(OR(N88&lt;=0.8,M88=MAX($M$5:$M$104)),"A",IF(N88&lt;=0.95,"B","C")))</f>
        <v/>
      </c>
      <c r="P88" s="20" t="str">
        <f aca="false">IF(O88="A","每週",IF(O88="B","每月",IF(O88="C","每季","")))</f>
        <v/>
      </c>
    </row>
    <row r="89" customFormat="false" ht="15" hidden="false" customHeight="false" outlineLevel="0" collapsed="false">
      <c r="A89" s="14"/>
      <c r="B89" s="14"/>
      <c r="C89" s="14"/>
      <c r="D89" s="14"/>
      <c r="E89" s="16"/>
      <c r="F89" s="17"/>
      <c r="G89" s="18"/>
      <c r="H89" s="18"/>
      <c r="I89" s="19" t="str">
        <f aca="false">IF(OR(F89="",G89=""),"",ROUNDUP(F89*(G89+N(H89)),0))</f>
        <v/>
      </c>
      <c r="J89" s="18"/>
      <c r="K89" s="20" t="str">
        <f aca="false">IF(OR(I89="",J89=""),"",IF(J89&lt;=I89,"需叫貨","正常"))</f>
        <v/>
      </c>
      <c r="L89" s="19" t="str">
        <f aca="false">IF(K89="需叫貨",MAX(0,ROUNDUP(I89+F89*30-J89,0)),"")</f>
        <v/>
      </c>
      <c r="M89" s="21" t="str">
        <f aca="false">IF(OR(E89="",F89=""),"",E89*F89*365)</f>
        <v/>
      </c>
      <c r="N89" s="22" t="str">
        <f aca="false">IF(M89="","",SUMIF($M$5:$M$104,"&gt;="&amp;M89)/SUM($M$5:$M$104))</f>
        <v/>
      </c>
      <c r="O89" s="23" t="str">
        <f aca="false">IF(N89="","",IF(OR(N89&lt;=0.8,M89=MAX($M$5:$M$104)),"A",IF(N89&lt;=0.95,"B","C")))</f>
        <v/>
      </c>
      <c r="P89" s="20" t="str">
        <f aca="false">IF(O89="A","每週",IF(O89="B","每月",IF(O89="C","每季","")))</f>
        <v/>
      </c>
    </row>
    <row r="90" customFormat="false" ht="15" hidden="false" customHeight="false" outlineLevel="0" collapsed="false">
      <c r="A90" s="14"/>
      <c r="B90" s="14"/>
      <c r="C90" s="14"/>
      <c r="D90" s="14"/>
      <c r="E90" s="16"/>
      <c r="F90" s="17"/>
      <c r="G90" s="18"/>
      <c r="H90" s="18"/>
      <c r="I90" s="19" t="str">
        <f aca="false">IF(OR(F90="",G90=""),"",ROUNDUP(F90*(G90+N(H90)),0))</f>
        <v/>
      </c>
      <c r="J90" s="18"/>
      <c r="K90" s="20" t="str">
        <f aca="false">IF(OR(I90="",J90=""),"",IF(J90&lt;=I90,"需叫貨","正常"))</f>
        <v/>
      </c>
      <c r="L90" s="19" t="str">
        <f aca="false">IF(K90="需叫貨",MAX(0,ROUNDUP(I90+F90*30-J90,0)),"")</f>
        <v/>
      </c>
      <c r="M90" s="21" t="str">
        <f aca="false">IF(OR(E90="",F90=""),"",E90*F90*365)</f>
        <v/>
      </c>
      <c r="N90" s="22" t="str">
        <f aca="false">IF(M90="","",SUMIF($M$5:$M$104,"&gt;="&amp;M90)/SUM($M$5:$M$104))</f>
        <v/>
      </c>
      <c r="O90" s="23" t="str">
        <f aca="false">IF(N90="","",IF(OR(N90&lt;=0.8,M90=MAX($M$5:$M$104)),"A",IF(N90&lt;=0.95,"B","C")))</f>
        <v/>
      </c>
      <c r="P90" s="20" t="str">
        <f aca="false">IF(O90="A","每週",IF(O90="B","每月",IF(O90="C","每季","")))</f>
        <v/>
      </c>
    </row>
    <row r="91" customFormat="false" ht="15" hidden="false" customHeight="false" outlineLevel="0" collapsed="false">
      <c r="A91" s="14"/>
      <c r="B91" s="14"/>
      <c r="C91" s="14"/>
      <c r="D91" s="14"/>
      <c r="E91" s="16"/>
      <c r="F91" s="17"/>
      <c r="G91" s="18"/>
      <c r="H91" s="18"/>
      <c r="I91" s="19" t="str">
        <f aca="false">IF(OR(F91="",G91=""),"",ROUNDUP(F91*(G91+N(H91)),0))</f>
        <v/>
      </c>
      <c r="J91" s="18"/>
      <c r="K91" s="20" t="str">
        <f aca="false">IF(OR(I91="",J91=""),"",IF(J91&lt;=I91,"需叫貨","正常"))</f>
        <v/>
      </c>
      <c r="L91" s="19" t="str">
        <f aca="false">IF(K91="需叫貨",MAX(0,ROUNDUP(I91+F91*30-J91,0)),"")</f>
        <v/>
      </c>
      <c r="M91" s="21" t="str">
        <f aca="false">IF(OR(E91="",F91=""),"",E91*F91*365)</f>
        <v/>
      </c>
      <c r="N91" s="22" t="str">
        <f aca="false">IF(M91="","",SUMIF($M$5:$M$104,"&gt;="&amp;M91)/SUM($M$5:$M$104))</f>
        <v/>
      </c>
      <c r="O91" s="23" t="str">
        <f aca="false">IF(N91="","",IF(OR(N91&lt;=0.8,M91=MAX($M$5:$M$104)),"A",IF(N91&lt;=0.95,"B","C")))</f>
        <v/>
      </c>
      <c r="P91" s="20" t="str">
        <f aca="false">IF(O91="A","每週",IF(O91="B","每月",IF(O91="C","每季","")))</f>
        <v/>
      </c>
    </row>
    <row r="92" customFormat="false" ht="15" hidden="false" customHeight="false" outlineLevel="0" collapsed="false">
      <c r="A92" s="14"/>
      <c r="B92" s="14"/>
      <c r="C92" s="14"/>
      <c r="D92" s="14"/>
      <c r="E92" s="16"/>
      <c r="F92" s="17"/>
      <c r="G92" s="18"/>
      <c r="H92" s="18"/>
      <c r="I92" s="19" t="str">
        <f aca="false">IF(OR(F92="",G92=""),"",ROUNDUP(F92*(G92+N(H92)),0))</f>
        <v/>
      </c>
      <c r="J92" s="18"/>
      <c r="K92" s="20" t="str">
        <f aca="false">IF(OR(I92="",J92=""),"",IF(J92&lt;=I92,"需叫貨","正常"))</f>
        <v/>
      </c>
      <c r="L92" s="19" t="str">
        <f aca="false">IF(K92="需叫貨",MAX(0,ROUNDUP(I92+F92*30-J92,0)),"")</f>
        <v/>
      </c>
      <c r="M92" s="21" t="str">
        <f aca="false">IF(OR(E92="",F92=""),"",E92*F92*365)</f>
        <v/>
      </c>
      <c r="N92" s="22" t="str">
        <f aca="false">IF(M92="","",SUMIF($M$5:$M$104,"&gt;="&amp;M92)/SUM($M$5:$M$104))</f>
        <v/>
      </c>
      <c r="O92" s="23" t="str">
        <f aca="false">IF(N92="","",IF(OR(N92&lt;=0.8,M92=MAX($M$5:$M$104)),"A",IF(N92&lt;=0.95,"B","C")))</f>
        <v/>
      </c>
      <c r="P92" s="20" t="str">
        <f aca="false">IF(O92="A","每週",IF(O92="B","每月",IF(O92="C","每季","")))</f>
        <v/>
      </c>
    </row>
    <row r="93" customFormat="false" ht="15" hidden="false" customHeight="false" outlineLevel="0" collapsed="false">
      <c r="A93" s="14"/>
      <c r="B93" s="14"/>
      <c r="C93" s="14"/>
      <c r="D93" s="14"/>
      <c r="E93" s="16"/>
      <c r="F93" s="17"/>
      <c r="G93" s="18"/>
      <c r="H93" s="18"/>
      <c r="I93" s="19" t="str">
        <f aca="false">IF(OR(F93="",G93=""),"",ROUNDUP(F93*(G93+N(H93)),0))</f>
        <v/>
      </c>
      <c r="J93" s="18"/>
      <c r="K93" s="20" t="str">
        <f aca="false">IF(OR(I93="",J93=""),"",IF(J93&lt;=I93,"需叫貨","正常"))</f>
        <v/>
      </c>
      <c r="L93" s="19" t="str">
        <f aca="false">IF(K93="需叫貨",MAX(0,ROUNDUP(I93+F93*30-J93,0)),"")</f>
        <v/>
      </c>
      <c r="M93" s="21" t="str">
        <f aca="false">IF(OR(E93="",F93=""),"",E93*F93*365)</f>
        <v/>
      </c>
      <c r="N93" s="22" t="str">
        <f aca="false">IF(M93="","",SUMIF($M$5:$M$104,"&gt;="&amp;M93)/SUM($M$5:$M$104))</f>
        <v/>
      </c>
      <c r="O93" s="23" t="str">
        <f aca="false">IF(N93="","",IF(OR(N93&lt;=0.8,M93=MAX($M$5:$M$104)),"A",IF(N93&lt;=0.95,"B","C")))</f>
        <v/>
      </c>
      <c r="P93" s="20" t="str">
        <f aca="false">IF(O93="A","每週",IF(O93="B","每月",IF(O93="C","每季","")))</f>
        <v/>
      </c>
    </row>
    <row r="94" customFormat="false" ht="15" hidden="false" customHeight="false" outlineLevel="0" collapsed="false">
      <c r="A94" s="14"/>
      <c r="B94" s="14"/>
      <c r="C94" s="14"/>
      <c r="D94" s="14"/>
      <c r="E94" s="16"/>
      <c r="F94" s="17"/>
      <c r="G94" s="18"/>
      <c r="H94" s="18"/>
      <c r="I94" s="19" t="str">
        <f aca="false">IF(OR(F94="",G94=""),"",ROUNDUP(F94*(G94+N(H94)),0))</f>
        <v/>
      </c>
      <c r="J94" s="18"/>
      <c r="K94" s="20" t="str">
        <f aca="false">IF(OR(I94="",J94=""),"",IF(J94&lt;=I94,"需叫貨","正常"))</f>
        <v/>
      </c>
      <c r="L94" s="19" t="str">
        <f aca="false">IF(K94="需叫貨",MAX(0,ROUNDUP(I94+F94*30-J94,0)),"")</f>
        <v/>
      </c>
      <c r="M94" s="21" t="str">
        <f aca="false">IF(OR(E94="",F94=""),"",E94*F94*365)</f>
        <v/>
      </c>
      <c r="N94" s="22" t="str">
        <f aca="false">IF(M94="","",SUMIF($M$5:$M$104,"&gt;="&amp;M94)/SUM($M$5:$M$104))</f>
        <v/>
      </c>
      <c r="O94" s="23" t="str">
        <f aca="false">IF(N94="","",IF(OR(N94&lt;=0.8,M94=MAX($M$5:$M$104)),"A",IF(N94&lt;=0.95,"B","C")))</f>
        <v/>
      </c>
      <c r="P94" s="20" t="str">
        <f aca="false">IF(O94="A","每週",IF(O94="B","每月",IF(O94="C","每季","")))</f>
        <v/>
      </c>
    </row>
    <row r="95" customFormat="false" ht="15" hidden="false" customHeight="false" outlineLevel="0" collapsed="false">
      <c r="A95" s="14"/>
      <c r="B95" s="14"/>
      <c r="C95" s="14"/>
      <c r="D95" s="14"/>
      <c r="E95" s="16"/>
      <c r="F95" s="17"/>
      <c r="G95" s="18"/>
      <c r="H95" s="18"/>
      <c r="I95" s="19" t="str">
        <f aca="false">IF(OR(F95="",G95=""),"",ROUNDUP(F95*(G95+N(H95)),0))</f>
        <v/>
      </c>
      <c r="J95" s="18"/>
      <c r="K95" s="20" t="str">
        <f aca="false">IF(OR(I95="",J95=""),"",IF(J95&lt;=I95,"需叫貨","正常"))</f>
        <v/>
      </c>
      <c r="L95" s="19" t="str">
        <f aca="false">IF(K95="需叫貨",MAX(0,ROUNDUP(I95+F95*30-J95,0)),"")</f>
        <v/>
      </c>
      <c r="M95" s="21" t="str">
        <f aca="false">IF(OR(E95="",F95=""),"",E95*F95*365)</f>
        <v/>
      </c>
      <c r="N95" s="22" t="str">
        <f aca="false">IF(M95="","",SUMIF($M$5:$M$104,"&gt;="&amp;M95)/SUM($M$5:$M$104))</f>
        <v/>
      </c>
      <c r="O95" s="23" t="str">
        <f aca="false">IF(N95="","",IF(OR(N95&lt;=0.8,M95=MAX($M$5:$M$104)),"A",IF(N95&lt;=0.95,"B","C")))</f>
        <v/>
      </c>
      <c r="P95" s="20" t="str">
        <f aca="false">IF(O95="A","每週",IF(O95="B","每月",IF(O95="C","每季","")))</f>
        <v/>
      </c>
    </row>
    <row r="96" customFormat="false" ht="15" hidden="false" customHeight="false" outlineLevel="0" collapsed="false">
      <c r="A96" s="14"/>
      <c r="B96" s="14"/>
      <c r="C96" s="14"/>
      <c r="D96" s="14"/>
      <c r="E96" s="16"/>
      <c r="F96" s="17"/>
      <c r="G96" s="18"/>
      <c r="H96" s="18"/>
      <c r="I96" s="19" t="str">
        <f aca="false">IF(OR(F96="",G96=""),"",ROUNDUP(F96*(G96+N(H96)),0))</f>
        <v/>
      </c>
      <c r="J96" s="18"/>
      <c r="K96" s="20" t="str">
        <f aca="false">IF(OR(I96="",J96=""),"",IF(J96&lt;=I96,"需叫貨","正常"))</f>
        <v/>
      </c>
      <c r="L96" s="19" t="str">
        <f aca="false">IF(K96="需叫貨",MAX(0,ROUNDUP(I96+F96*30-J96,0)),"")</f>
        <v/>
      </c>
      <c r="M96" s="21" t="str">
        <f aca="false">IF(OR(E96="",F96=""),"",E96*F96*365)</f>
        <v/>
      </c>
      <c r="N96" s="22" t="str">
        <f aca="false">IF(M96="","",SUMIF($M$5:$M$104,"&gt;="&amp;M96)/SUM($M$5:$M$104))</f>
        <v/>
      </c>
      <c r="O96" s="23" t="str">
        <f aca="false">IF(N96="","",IF(OR(N96&lt;=0.8,M96=MAX($M$5:$M$104)),"A",IF(N96&lt;=0.95,"B","C")))</f>
        <v/>
      </c>
      <c r="P96" s="20" t="str">
        <f aca="false">IF(O96="A","每週",IF(O96="B","每月",IF(O96="C","每季","")))</f>
        <v/>
      </c>
    </row>
    <row r="97" customFormat="false" ht="15" hidden="false" customHeight="false" outlineLevel="0" collapsed="false">
      <c r="A97" s="14"/>
      <c r="B97" s="14"/>
      <c r="C97" s="14"/>
      <c r="D97" s="14"/>
      <c r="E97" s="16"/>
      <c r="F97" s="17"/>
      <c r="G97" s="18"/>
      <c r="H97" s="18"/>
      <c r="I97" s="19" t="str">
        <f aca="false">IF(OR(F97="",G97=""),"",ROUNDUP(F97*(G97+N(H97)),0))</f>
        <v/>
      </c>
      <c r="J97" s="18"/>
      <c r="K97" s="20" t="str">
        <f aca="false">IF(OR(I97="",J97=""),"",IF(J97&lt;=I97,"需叫貨","正常"))</f>
        <v/>
      </c>
      <c r="L97" s="19" t="str">
        <f aca="false">IF(K97="需叫貨",MAX(0,ROUNDUP(I97+F97*30-J97,0)),"")</f>
        <v/>
      </c>
      <c r="M97" s="21" t="str">
        <f aca="false">IF(OR(E97="",F97=""),"",E97*F97*365)</f>
        <v/>
      </c>
      <c r="N97" s="22" t="str">
        <f aca="false">IF(M97="","",SUMIF($M$5:$M$104,"&gt;="&amp;M97)/SUM($M$5:$M$104))</f>
        <v/>
      </c>
      <c r="O97" s="23" t="str">
        <f aca="false">IF(N97="","",IF(OR(N97&lt;=0.8,M97=MAX($M$5:$M$104)),"A",IF(N97&lt;=0.95,"B","C")))</f>
        <v/>
      </c>
      <c r="P97" s="20" t="str">
        <f aca="false">IF(O97="A","每週",IF(O97="B","每月",IF(O97="C","每季","")))</f>
        <v/>
      </c>
    </row>
    <row r="98" customFormat="false" ht="15" hidden="false" customHeight="false" outlineLevel="0" collapsed="false">
      <c r="A98" s="14"/>
      <c r="B98" s="14"/>
      <c r="C98" s="14"/>
      <c r="D98" s="14"/>
      <c r="E98" s="16"/>
      <c r="F98" s="17"/>
      <c r="G98" s="18"/>
      <c r="H98" s="18"/>
      <c r="I98" s="19" t="str">
        <f aca="false">IF(OR(F98="",G98=""),"",ROUNDUP(F98*(G98+N(H98)),0))</f>
        <v/>
      </c>
      <c r="J98" s="18"/>
      <c r="K98" s="20" t="str">
        <f aca="false">IF(OR(I98="",J98=""),"",IF(J98&lt;=I98,"需叫貨","正常"))</f>
        <v/>
      </c>
      <c r="L98" s="19" t="str">
        <f aca="false">IF(K98="需叫貨",MAX(0,ROUNDUP(I98+F98*30-J98,0)),"")</f>
        <v/>
      </c>
      <c r="M98" s="21" t="str">
        <f aca="false">IF(OR(E98="",F98=""),"",E98*F98*365)</f>
        <v/>
      </c>
      <c r="N98" s="22" t="str">
        <f aca="false">IF(M98="","",SUMIF($M$5:$M$104,"&gt;="&amp;M98)/SUM($M$5:$M$104))</f>
        <v/>
      </c>
      <c r="O98" s="23" t="str">
        <f aca="false">IF(N98="","",IF(OR(N98&lt;=0.8,M98=MAX($M$5:$M$104)),"A",IF(N98&lt;=0.95,"B","C")))</f>
        <v/>
      </c>
      <c r="P98" s="20" t="str">
        <f aca="false">IF(O98="A","每週",IF(O98="B","每月",IF(O98="C","每季","")))</f>
        <v/>
      </c>
    </row>
    <row r="99" customFormat="false" ht="15" hidden="false" customHeight="false" outlineLevel="0" collapsed="false">
      <c r="A99" s="14"/>
      <c r="B99" s="14"/>
      <c r="C99" s="14"/>
      <c r="D99" s="14"/>
      <c r="E99" s="16"/>
      <c r="F99" s="17"/>
      <c r="G99" s="18"/>
      <c r="H99" s="18"/>
      <c r="I99" s="19" t="str">
        <f aca="false">IF(OR(F99="",G99=""),"",ROUNDUP(F99*(G99+N(H99)),0))</f>
        <v/>
      </c>
      <c r="J99" s="18"/>
      <c r="K99" s="20" t="str">
        <f aca="false">IF(OR(I99="",J99=""),"",IF(J99&lt;=I99,"需叫貨","正常"))</f>
        <v/>
      </c>
      <c r="L99" s="19" t="str">
        <f aca="false">IF(K99="需叫貨",MAX(0,ROUNDUP(I99+F99*30-J99,0)),"")</f>
        <v/>
      </c>
      <c r="M99" s="21" t="str">
        <f aca="false">IF(OR(E99="",F99=""),"",E99*F99*365)</f>
        <v/>
      </c>
      <c r="N99" s="22" t="str">
        <f aca="false">IF(M99="","",SUMIF($M$5:$M$104,"&gt;="&amp;M99)/SUM($M$5:$M$104))</f>
        <v/>
      </c>
      <c r="O99" s="23" t="str">
        <f aca="false">IF(N99="","",IF(OR(N99&lt;=0.8,M99=MAX($M$5:$M$104)),"A",IF(N99&lt;=0.95,"B","C")))</f>
        <v/>
      </c>
      <c r="P99" s="20" t="str">
        <f aca="false">IF(O99="A","每週",IF(O99="B","每月",IF(O99="C","每季","")))</f>
        <v/>
      </c>
    </row>
    <row r="100" customFormat="false" ht="15" hidden="false" customHeight="false" outlineLevel="0" collapsed="false">
      <c r="A100" s="14"/>
      <c r="B100" s="14"/>
      <c r="C100" s="14"/>
      <c r="D100" s="14"/>
      <c r="E100" s="16"/>
      <c r="F100" s="17"/>
      <c r="G100" s="18"/>
      <c r="H100" s="18"/>
      <c r="I100" s="19" t="str">
        <f aca="false">IF(OR(F100="",G100=""),"",ROUNDUP(F100*(G100+N(H100)),0))</f>
        <v/>
      </c>
      <c r="J100" s="18"/>
      <c r="K100" s="20" t="str">
        <f aca="false">IF(OR(I100="",J100=""),"",IF(J100&lt;=I100,"需叫貨","正常"))</f>
        <v/>
      </c>
      <c r="L100" s="19" t="str">
        <f aca="false">IF(K100="需叫貨",MAX(0,ROUNDUP(I100+F100*30-J100,0)),"")</f>
        <v/>
      </c>
      <c r="M100" s="21" t="str">
        <f aca="false">IF(OR(E100="",F100=""),"",E100*F100*365)</f>
        <v/>
      </c>
      <c r="N100" s="22" t="str">
        <f aca="false">IF(M100="","",SUMIF($M$5:$M$104,"&gt;="&amp;M100)/SUM($M$5:$M$104))</f>
        <v/>
      </c>
      <c r="O100" s="23" t="str">
        <f aca="false">IF(N100="","",IF(OR(N100&lt;=0.8,M100=MAX($M$5:$M$104)),"A",IF(N100&lt;=0.95,"B","C")))</f>
        <v/>
      </c>
      <c r="P100" s="20" t="str">
        <f aca="false">IF(O100="A","每週",IF(O100="B","每月",IF(O100="C","每季","")))</f>
        <v/>
      </c>
    </row>
    <row r="101" customFormat="false" ht="15" hidden="false" customHeight="false" outlineLevel="0" collapsed="false">
      <c r="A101" s="14"/>
      <c r="B101" s="14"/>
      <c r="C101" s="14"/>
      <c r="D101" s="14"/>
      <c r="E101" s="16"/>
      <c r="F101" s="17"/>
      <c r="G101" s="18"/>
      <c r="H101" s="18"/>
      <c r="I101" s="19" t="str">
        <f aca="false">IF(OR(F101="",G101=""),"",ROUNDUP(F101*(G101+N(H101)),0))</f>
        <v/>
      </c>
      <c r="J101" s="18"/>
      <c r="K101" s="20" t="str">
        <f aca="false">IF(OR(I101="",J101=""),"",IF(J101&lt;=I101,"需叫貨","正常"))</f>
        <v/>
      </c>
      <c r="L101" s="19" t="str">
        <f aca="false">IF(K101="需叫貨",MAX(0,ROUNDUP(I101+F101*30-J101,0)),"")</f>
        <v/>
      </c>
      <c r="M101" s="21" t="str">
        <f aca="false">IF(OR(E101="",F101=""),"",E101*F101*365)</f>
        <v/>
      </c>
      <c r="N101" s="22" t="str">
        <f aca="false">IF(M101="","",SUMIF($M$5:$M$104,"&gt;="&amp;M101)/SUM($M$5:$M$104))</f>
        <v/>
      </c>
      <c r="O101" s="23" t="str">
        <f aca="false">IF(N101="","",IF(OR(N101&lt;=0.8,M101=MAX($M$5:$M$104)),"A",IF(N101&lt;=0.95,"B","C")))</f>
        <v/>
      </c>
      <c r="P101" s="20" t="str">
        <f aca="false">IF(O101="A","每週",IF(O101="B","每月",IF(O101="C","每季","")))</f>
        <v/>
      </c>
    </row>
    <row r="102" customFormat="false" ht="15" hidden="false" customHeight="false" outlineLevel="0" collapsed="false">
      <c r="A102" s="14"/>
      <c r="B102" s="14"/>
      <c r="C102" s="14"/>
      <c r="D102" s="14"/>
      <c r="E102" s="16"/>
      <c r="F102" s="17"/>
      <c r="G102" s="18"/>
      <c r="H102" s="18"/>
      <c r="I102" s="19" t="str">
        <f aca="false">IF(OR(F102="",G102=""),"",ROUNDUP(F102*(G102+N(H102)),0))</f>
        <v/>
      </c>
      <c r="J102" s="18"/>
      <c r="K102" s="20" t="str">
        <f aca="false">IF(OR(I102="",J102=""),"",IF(J102&lt;=I102,"需叫貨","正常"))</f>
        <v/>
      </c>
      <c r="L102" s="19" t="str">
        <f aca="false">IF(K102="需叫貨",MAX(0,ROUNDUP(I102+F102*30-J102,0)),"")</f>
        <v/>
      </c>
      <c r="M102" s="21" t="str">
        <f aca="false">IF(OR(E102="",F102=""),"",E102*F102*365)</f>
        <v/>
      </c>
      <c r="N102" s="22" t="str">
        <f aca="false">IF(M102="","",SUMIF($M$5:$M$104,"&gt;="&amp;M102)/SUM($M$5:$M$104))</f>
        <v/>
      </c>
      <c r="O102" s="23" t="str">
        <f aca="false">IF(N102="","",IF(OR(N102&lt;=0.8,M102=MAX($M$5:$M$104)),"A",IF(N102&lt;=0.95,"B","C")))</f>
        <v/>
      </c>
      <c r="P102" s="20" t="str">
        <f aca="false">IF(O102="A","每週",IF(O102="B","每月",IF(O102="C","每季","")))</f>
        <v/>
      </c>
    </row>
    <row r="103" customFormat="false" ht="15" hidden="false" customHeight="false" outlineLevel="0" collapsed="false">
      <c r="A103" s="14"/>
      <c r="B103" s="14"/>
      <c r="C103" s="14"/>
      <c r="D103" s="14"/>
      <c r="E103" s="16"/>
      <c r="F103" s="17"/>
      <c r="G103" s="18"/>
      <c r="H103" s="18"/>
      <c r="I103" s="19" t="str">
        <f aca="false">IF(OR(F103="",G103=""),"",ROUNDUP(F103*(G103+N(H103)),0))</f>
        <v/>
      </c>
      <c r="J103" s="18"/>
      <c r="K103" s="20" t="str">
        <f aca="false">IF(OR(I103="",J103=""),"",IF(J103&lt;=I103,"需叫貨","正常"))</f>
        <v/>
      </c>
      <c r="L103" s="19" t="str">
        <f aca="false">IF(K103="需叫貨",MAX(0,ROUNDUP(I103+F103*30-J103,0)),"")</f>
        <v/>
      </c>
      <c r="M103" s="21" t="str">
        <f aca="false">IF(OR(E103="",F103=""),"",E103*F103*365)</f>
        <v/>
      </c>
      <c r="N103" s="22" t="str">
        <f aca="false">IF(M103="","",SUMIF($M$5:$M$104,"&gt;="&amp;M103)/SUM($M$5:$M$104))</f>
        <v/>
      </c>
      <c r="O103" s="23" t="str">
        <f aca="false">IF(N103="","",IF(OR(N103&lt;=0.8,M103=MAX($M$5:$M$104)),"A",IF(N103&lt;=0.95,"B","C")))</f>
        <v/>
      </c>
      <c r="P103" s="20" t="str">
        <f aca="false">IF(O103="A","每週",IF(O103="B","每月",IF(O103="C","每季","")))</f>
        <v/>
      </c>
    </row>
    <row r="104" customFormat="false" ht="15" hidden="false" customHeight="false" outlineLevel="0" collapsed="false">
      <c r="A104" s="14"/>
      <c r="B104" s="14"/>
      <c r="C104" s="14"/>
      <c r="D104" s="14"/>
      <c r="E104" s="16"/>
      <c r="F104" s="17"/>
      <c r="G104" s="18"/>
      <c r="H104" s="18"/>
      <c r="I104" s="19" t="str">
        <f aca="false">IF(OR(F104="",G104=""),"",ROUNDUP(F104*(G104+N(H104)),0))</f>
        <v/>
      </c>
      <c r="J104" s="18"/>
      <c r="K104" s="20" t="str">
        <f aca="false">IF(OR(I104="",J104=""),"",IF(J104&lt;=I104,"需叫貨","正常"))</f>
        <v/>
      </c>
      <c r="L104" s="19" t="str">
        <f aca="false">IF(K104="需叫貨",MAX(0,ROUNDUP(I104+F104*30-J104,0)),"")</f>
        <v/>
      </c>
      <c r="M104" s="21" t="str">
        <f aca="false">IF(OR(E104="",F104=""),"",E104*F104*365)</f>
        <v/>
      </c>
      <c r="N104" s="22" t="str">
        <f aca="false">IF(M104="","",SUMIF($M$5:$M$104,"&gt;="&amp;M104)/SUM($M$5:$M$104))</f>
        <v/>
      </c>
      <c r="O104" s="23" t="str">
        <f aca="false">IF(N104="","",IF(OR(N104&lt;=0.8,M104=MAX($M$5:$M$104)),"A",IF(N104&lt;=0.95,"B","C")))</f>
        <v/>
      </c>
      <c r="P104" s="20" t="str">
        <f aca="false">IF(O104="A","每週",IF(O104="B","每月",IF(O104="C","每季","")))</f>
        <v/>
      </c>
    </row>
  </sheetData>
  <mergeCells count="2">
    <mergeCell ref="A1:P1"/>
    <mergeCell ref="A2:P2"/>
  </mergeCells>
  <conditionalFormatting sqref="K5:K104">
    <cfRule type="cellIs" priority="2" operator="equal" aboveAverage="0" equalAverage="0" bottom="0" percent="0" rank="0" text="" dxfId="0">
      <formula>"需叫貨"</formula>
    </cfRule>
  </conditionalFormatting>
  <conditionalFormatting sqref="O5:O104">
    <cfRule type="cellIs" priority="3" operator="equal" aboveAverage="0" equalAverage="0" bottom="0" percent="0" rank="0" text="" dxfId="1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0" t="s">
        <v>47</v>
      </c>
      <c r="B1" s="10"/>
      <c r="C1" s="10"/>
      <c r="D1" s="10"/>
      <c r="E1" s="10"/>
      <c r="F1" s="10"/>
    </row>
    <row r="2" customFormat="false" ht="30" hidden="false" customHeight="true" outlineLevel="0" collapsed="false">
      <c r="A2" s="11" t="s">
        <v>48</v>
      </c>
      <c r="B2" s="11"/>
      <c r="C2" s="11"/>
      <c r="D2" s="11"/>
      <c r="E2" s="11"/>
      <c r="F2" s="11"/>
    </row>
    <row r="4" customFormat="false" ht="33.75" hidden="false" customHeight="true" outlineLevel="0" collapsed="false">
      <c r="A4" s="12" t="s">
        <v>17</v>
      </c>
      <c r="B4" s="12" t="s">
        <v>49</v>
      </c>
      <c r="C4" s="12" t="s">
        <v>50</v>
      </c>
      <c r="D4" s="12" t="s">
        <v>51</v>
      </c>
      <c r="E4" s="12" t="s">
        <v>52</v>
      </c>
      <c r="F4" s="12" t="s">
        <v>27</v>
      </c>
    </row>
    <row r="5" customFormat="false" ht="15" hidden="false" customHeight="false" outlineLevel="0" collapsed="false">
      <c r="A5" s="14" t="s">
        <v>37</v>
      </c>
      <c r="B5" s="24" t="s">
        <v>53</v>
      </c>
      <c r="C5" s="25" t="n">
        <v>46318</v>
      </c>
      <c r="D5" s="18" t="n">
        <v>3</v>
      </c>
      <c r="E5" s="19" t="n">
        <f aca="true">IF(C5="","",C5-TODAY())</f>
        <v>20</v>
      </c>
      <c r="F5" s="20" t="str">
        <f aca="false">IF(E5="","",IF(E5&lt;0,"已過期",IF(E5&lt;=30,"30 天內到期",IF(E5&lt;=90,"90 天內到期","正常"))))</f>
        <v>30 天內到期</v>
      </c>
    </row>
    <row r="6" customFormat="false" ht="15" hidden="false" customHeight="false" outlineLevel="0" collapsed="false">
      <c r="A6" s="14" t="s">
        <v>44</v>
      </c>
      <c r="B6" s="24" t="s">
        <v>54</v>
      </c>
      <c r="C6" s="25" t="n">
        <v>46498</v>
      </c>
      <c r="D6" s="18" t="n">
        <v>80</v>
      </c>
      <c r="E6" s="19" t="n">
        <f aca="true">IF(C6="","",C6-TODAY())</f>
        <v>200</v>
      </c>
      <c r="F6" s="20" t="str">
        <f aca="false">IF(E6="","",IF(E6&lt;0,"已過期",IF(E6&lt;=30,"30 天內到期",IF(E6&lt;=90,"90 天內到期","正常"))))</f>
        <v>正常</v>
      </c>
    </row>
    <row r="7" customFormat="false" ht="15" hidden="false" customHeight="false" outlineLevel="0" collapsed="false">
      <c r="A7" s="14"/>
      <c r="B7" s="24"/>
      <c r="C7" s="25"/>
      <c r="D7" s="18"/>
      <c r="E7" s="19" t="str">
        <f aca="true">IF(C7="","",C7-TODAY())</f>
        <v/>
      </c>
      <c r="F7" s="20" t="str">
        <f aca="false">IF(E7="","",IF(E7&lt;0,"已過期",IF(E7&lt;=30,"30 天內到期",IF(E7&lt;=90,"90 天內到期","正常"))))</f>
        <v/>
      </c>
    </row>
    <row r="8" customFormat="false" ht="15" hidden="false" customHeight="false" outlineLevel="0" collapsed="false">
      <c r="A8" s="14"/>
      <c r="B8" s="24"/>
      <c r="C8" s="25"/>
      <c r="D8" s="18"/>
      <c r="E8" s="19" t="str">
        <f aca="true">IF(C8="","",C8-TODAY())</f>
        <v/>
      </c>
      <c r="F8" s="20" t="str">
        <f aca="false">IF(E8="","",IF(E8&lt;0,"已過期",IF(E8&lt;=30,"30 天內到期",IF(E8&lt;=90,"90 天內到期","正常"))))</f>
        <v/>
      </c>
    </row>
    <row r="9" customFormat="false" ht="15" hidden="false" customHeight="false" outlineLevel="0" collapsed="false">
      <c r="A9" s="14"/>
      <c r="B9" s="24"/>
      <c r="C9" s="25"/>
      <c r="D9" s="18"/>
      <c r="E9" s="19" t="str">
        <f aca="true">IF(C9="","",C9-TODAY())</f>
        <v/>
      </c>
      <c r="F9" s="20" t="str">
        <f aca="false">IF(E9="","",IF(E9&lt;0,"已過期",IF(E9&lt;=30,"30 天內到期",IF(E9&lt;=90,"90 天內到期","正常"))))</f>
        <v/>
      </c>
    </row>
    <row r="10" customFormat="false" ht="15" hidden="false" customHeight="false" outlineLevel="0" collapsed="false">
      <c r="A10" s="14"/>
      <c r="B10" s="24"/>
      <c r="C10" s="25"/>
      <c r="D10" s="18"/>
      <c r="E10" s="19" t="str">
        <f aca="true">IF(C10="","",C10-TODAY())</f>
        <v/>
      </c>
      <c r="F10" s="20" t="str">
        <f aca="false">IF(E10="","",IF(E10&lt;0,"已過期",IF(E10&lt;=30,"30 天內到期",IF(E10&lt;=90,"90 天內到期","正常"))))</f>
        <v/>
      </c>
    </row>
    <row r="11" customFormat="false" ht="15" hidden="false" customHeight="false" outlineLevel="0" collapsed="false">
      <c r="A11" s="14"/>
      <c r="B11" s="24"/>
      <c r="C11" s="25"/>
      <c r="D11" s="18"/>
      <c r="E11" s="19" t="str">
        <f aca="true">IF(C11="","",C11-TODAY())</f>
        <v/>
      </c>
      <c r="F11" s="20" t="str">
        <f aca="false">IF(E11="","",IF(E11&lt;0,"已過期",IF(E11&lt;=30,"30 天內到期",IF(E11&lt;=90,"90 天內到期","正常"))))</f>
        <v/>
      </c>
    </row>
    <row r="12" customFormat="false" ht="15" hidden="false" customHeight="false" outlineLevel="0" collapsed="false">
      <c r="A12" s="14"/>
      <c r="B12" s="24"/>
      <c r="C12" s="25"/>
      <c r="D12" s="18"/>
      <c r="E12" s="19" t="str">
        <f aca="true">IF(C12="","",C12-TODAY())</f>
        <v/>
      </c>
      <c r="F12" s="20" t="str">
        <f aca="false">IF(E12="","",IF(E12&lt;0,"已過期",IF(E12&lt;=30,"30 天內到期",IF(E12&lt;=90,"90 天內到期","正常"))))</f>
        <v/>
      </c>
    </row>
    <row r="13" customFormat="false" ht="15" hidden="false" customHeight="false" outlineLevel="0" collapsed="false">
      <c r="A13" s="14"/>
      <c r="B13" s="24"/>
      <c r="C13" s="25"/>
      <c r="D13" s="18"/>
      <c r="E13" s="19" t="str">
        <f aca="true">IF(C13="","",C13-TODAY())</f>
        <v/>
      </c>
      <c r="F13" s="20" t="str">
        <f aca="false">IF(E13="","",IF(E13&lt;0,"已過期",IF(E13&lt;=30,"30 天內到期",IF(E13&lt;=90,"90 天內到期","正常"))))</f>
        <v/>
      </c>
    </row>
    <row r="14" customFormat="false" ht="15" hidden="false" customHeight="false" outlineLevel="0" collapsed="false">
      <c r="A14" s="14"/>
      <c r="B14" s="24"/>
      <c r="C14" s="25"/>
      <c r="D14" s="18"/>
      <c r="E14" s="19" t="str">
        <f aca="true">IF(C14="","",C14-TODAY())</f>
        <v/>
      </c>
      <c r="F14" s="20" t="str">
        <f aca="false">IF(E14="","",IF(E14&lt;0,"已過期",IF(E14&lt;=30,"30 天內到期",IF(E14&lt;=90,"90 天內到期","正常"))))</f>
        <v/>
      </c>
    </row>
    <row r="15" customFormat="false" ht="15" hidden="false" customHeight="false" outlineLevel="0" collapsed="false">
      <c r="A15" s="14"/>
      <c r="B15" s="24"/>
      <c r="C15" s="25"/>
      <c r="D15" s="18"/>
      <c r="E15" s="19" t="str">
        <f aca="true">IF(C15="","",C15-TODAY())</f>
        <v/>
      </c>
      <c r="F15" s="20" t="str">
        <f aca="false">IF(E15="","",IF(E15&lt;0,"已過期",IF(E15&lt;=30,"30 天內到期",IF(E15&lt;=90,"90 天內到期","正常"))))</f>
        <v/>
      </c>
    </row>
    <row r="16" customFormat="false" ht="15" hidden="false" customHeight="false" outlineLevel="0" collapsed="false">
      <c r="A16" s="14"/>
      <c r="B16" s="24"/>
      <c r="C16" s="25"/>
      <c r="D16" s="18"/>
      <c r="E16" s="19" t="str">
        <f aca="true">IF(C16="","",C16-TODAY())</f>
        <v/>
      </c>
      <c r="F16" s="20" t="str">
        <f aca="false">IF(E16="","",IF(E16&lt;0,"已過期",IF(E16&lt;=30,"30 天內到期",IF(E16&lt;=90,"90 天內到期","正常"))))</f>
        <v/>
      </c>
    </row>
    <row r="17" customFormat="false" ht="15" hidden="false" customHeight="false" outlineLevel="0" collapsed="false">
      <c r="A17" s="14"/>
      <c r="B17" s="24"/>
      <c r="C17" s="25"/>
      <c r="D17" s="18"/>
      <c r="E17" s="19" t="str">
        <f aca="true">IF(C17="","",C17-TODAY())</f>
        <v/>
      </c>
      <c r="F17" s="20" t="str">
        <f aca="false">IF(E17="","",IF(E17&lt;0,"已過期",IF(E17&lt;=30,"30 天內到期",IF(E17&lt;=90,"90 天內到期","正常"))))</f>
        <v/>
      </c>
    </row>
    <row r="18" customFormat="false" ht="15" hidden="false" customHeight="false" outlineLevel="0" collapsed="false">
      <c r="A18" s="14"/>
      <c r="B18" s="24"/>
      <c r="C18" s="25"/>
      <c r="D18" s="18"/>
      <c r="E18" s="19" t="str">
        <f aca="true">IF(C18="","",C18-TODAY())</f>
        <v/>
      </c>
      <c r="F18" s="20" t="str">
        <f aca="false">IF(E18="","",IF(E18&lt;0,"已過期",IF(E18&lt;=30,"30 天內到期",IF(E18&lt;=90,"90 天內到期","正常"))))</f>
        <v/>
      </c>
    </row>
    <row r="19" customFormat="false" ht="15" hidden="false" customHeight="false" outlineLevel="0" collapsed="false">
      <c r="A19" s="14"/>
      <c r="B19" s="24"/>
      <c r="C19" s="25"/>
      <c r="D19" s="18"/>
      <c r="E19" s="19" t="str">
        <f aca="true">IF(C19="","",C19-TODAY())</f>
        <v/>
      </c>
      <c r="F19" s="20" t="str">
        <f aca="false">IF(E19="","",IF(E19&lt;0,"已過期",IF(E19&lt;=30,"30 天內到期",IF(E19&lt;=90,"90 天內到期","正常"))))</f>
        <v/>
      </c>
    </row>
    <row r="20" customFormat="false" ht="15" hidden="false" customHeight="false" outlineLevel="0" collapsed="false">
      <c r="A20" s="14"/>
      <c r="B20" s="24"/>
      <c r="C20" s="25"/>
      <c r="D20" s="18"/>
      <c r="E20" s="19" t="str">
        <f aca="true">IF(C20="","",C20-TODAY())</f>
        <v/>
      </c>
      <c r="F20" s="20" t="str">
        <f aca="false">IF(E20="","",IF(E20&lt;0,"已過期",IF(E20&lt;=30,"30 天內到期",IF(E20&lt;=90,"90 天內到期","正常"))))</f>
        <v/>
      </c>
    </row>
    <row r="21" customFormat="false" ht="15" hidden="false" customHeight="false" outlineLevel="0" collapsed="false">
      <c r="A21" s="14"/>
      <c r="B21" s="24"/>
      <c r="C21" s="25"/>
      <c r="D21" s="18"/>
      <c r="E21" s="19" t="str">
        <f aca="true">IF(C21="","",C21-TODAY())</f>
        <v/>
      </c>
      <c r="F21" s="20" t="str">
        <f aca="false">IF(E21="","",IF(E21&lt;0,"已過期",IF(E21&lt;=30,"30 天內到期",IF(E21&lt;=90,"90 天內到期","正常"))))</f>
        <v/>
      </c>
    </row>
    <row r="22" customFormat="false" ht="15" hidden="false" customHeight="false" outlineLevel="0" collapsed="false">
      <c r="A22" s="14"/>
      <c r="B22" s="24"/>
      <c r="C22" s="25"/>
      <c r="D22" s="18"/>
      <c r="E22" s="19" t="str">
        <f aca="true">IF(C22="","",C22-TODAY())</f>
        <v/>
      </c>
      <c r="F22" s="20" t="str">
        <f aca="false">IF(E22="","",IF(E22&lt;0,"已過期",IF(E22&lt;=30,"30 天內到期",IF(E22&lt;=90,"90 天內到期","正常"))))</f>
        <v/>
      </c>
    </row>
    <row r="23" customFormat="false" ht="15" hidden="false" customHeight="false" outlineLevel="0" collapsed="false">
      <c r="A23" s="14"/>
      <c r="B23" s="24"/>
      <c r="C23" s="25"/>
      <c r="D23" s="18"/>
      <c r="E23" s="19" t="str">
        <f aca="true">IF(C23="","",C23-TODAY())</f>
        <v/>
      </c>
      <c r="F23" s="20" t="str">
        <f aca="false">IF(E23="","",IF(E23&lt;0,"已過期",IF(E23&lt;=30,"30 天內到期",IF(E23&lt;=90,"90 天內到期","正常"))))</f>
        <v/>
      </c>
    </row>
    <row r="24" customFormat="false" ht="15" hidden="false" customHeight="false" outlineLevel="0" collapsed="false">
      <c r="A24" s="14"/>
      <c r="B24" s="24"/>
      <c r="C24" s="25"/>
      <c r="D24" s="18"/>
      <c r="E24" s="19" t="str">
        <f aca="true">IF(C24="","",C24-TODAY())</f>
        <v/>
      </c>
      <c r="F24" s="20" t="str">
        <f aca="false">IF(E24="","",IF(E24&lt;0,"已過期",IF(E24&lt;=30,"30 天內到期",IF(E24&lt;=90,"90 天內到期","正常"))))</f>
        <v/>
      </c>
    </row>
    <row r="25" customFormat="false" ht="15" hidden="false" customHeight="false" outlineLevel="0" collapsed="false">
      <c r="A25" s="14"/>
      <c r="B25" s="24"/>
      <c r="C25" s="25"/>
      <c r="D25" s="18"/>
      <c r="E25" s="19" t="str">
        <f aca="true">IF(C25="","",C25-TODAY())</f>
        <v/>
      </c>
      <c r="F25" s="20" t="str">
        <f aca="false">IF(E25="","",IF(E25&lt;0,"已過期",IF(E25&lt;=30,"30 天內到期",IF(E25&lt;=90,"90 天內到期","正常"))))</f>
        <v/>
      </c>
    </row>
    <row r="26" customFormat="false" ht="15" hidden="false" customHeight="false" outlineLevel="0" collapsed="false">
      <c r="A26" s="14"/>
      <c r="B26" s="24"/>
      <c r="C26" s="25"/>
      <c r="D26" s="18"/>
      <c r="E26" s="19" t="str">
        <f aca="true">IF(C26="","",C26-TODAY())</f>
        <v/>
      </c>
      <c r="F26" s="20" t="str">
        <f aca="false">IF(E26="","",IF(E26&lt;0,"已過期",IF(E26&lt;=30,"30 天內到期",IF(E26&lt;=90,"90 天內到期","正常"))))</f>
        <v/>
      </c>
    </row>
    <row r="27" customFormat="false" ht="15" hidden="false" customHeight="false" outlineLevel="0" collapsed="false">
      <c r="A27" s="14"/>
      <c r="B27" s="24"/>
      <c r="C27" s="25"/>
      <c r="D27" s="18"/>
      <c r="E27" s="19" t="str">
        <f aca="true">IF(C27="","",C27-TODAY())</f>
        <v/>
      </c>
      <c r="F27" s="20" t="str">
        <f aca="false">IF(E27="","",IF(E27&lt;0,"已過期",IF(E27&lt;=30,"30 天內到期",IF(E27&lt;=90,"90 天內到期","正常"))))</f>
        <v/>
      </c>
    </row>
    <row r="28" customFormat="false" ht="15" hidden="false" customHeight="false" outlineLevel="0" collapsed="false">
      <c r="A28" s="14"/>
      <c r="B28" s="24"/>
      <c r="C28" s="25"/>
      <c r="D28" s="18"/>
      <c r="E28" s="19" t="str">
        <f aca="true">IF(C28="","",C28-TODAY())</f>
        <v/>
      </c>
      <c r="F28" s="20" t="str">
        <f aca="false">IF(E28="","",IF(E28&lt;0,"已過期",IF(E28&lt;=30,"30 天內到期",IF(E28&lt;=90,"90 天內到期","正常"))))</f>
        <v/>
      </c>
    </row>
    <row r="29" customFormat="false" ht="15" hidden="false" customHeight="false" outlineLevel="0" collapsed="false">
      <c r="A29" s="14"/>
      <c r="B29" s="24"/>
      <c r="C29" s="25"/>
      <c r="D29" s="18"/>
      <c r="E29" s="19" t="str">
        <f aca="true">IF(C29="","",C29-TODAY())</f>
        <v/>
      </c>
      <c r="F29" s="20" t="str">
        <f aca="false">IF(E29="","",IF(E29&lt;0,"已過期",IF(E29&lt;=30,"30 天內到期",IF(E29&lt;=90,"90 天內到期","正常"))))</f>
        <v/>
      </c>
    </row>
    <row r="30" customFormat="false" ht="15" hidden="false" customHeight="false" outlineLevel="0" collapsed="false">
      <c r="A30" s="14"/>
      <c r="B30" s="24"/>
      <c r="C30" s="25"/>
      <c r="D30" s="18"/>
      <c r="E30" s="19" t="str">
        <f aca="true">IF(C30="","",C30-TODAY())</f>
        <v/>
      </c>
      <c r="F30" s="20" t="str">
        <f aca="false">IF(E30="","",IF(E30&lt;0,"已過期",IF(E30&lt;=30,"30 天內到期",IF(E30&lt;=90,"90 天內到期","正常"))))</f>
        <v/>
      </c>
    </row>
    <row r="31" customFormat="false" ht="15" hidden="false" customHeight="false" outlineLevel="0" collapsed="false">
      <c r="A31" s="14"/>
      <c r="B31" s="24"/>
      <c r="C31" s="25"/>
      <c r="D31" s="18"/>
      <c r="E31" s="19" t="str">
        <f aca="true">IF(C31="","",C31-TODAY())</f>
        <v/>
      </c>
      <c r="F31" s="20" t="str">
        <f aca="false">IF(E31="","",IF(E31&lt;0,"已過期",IF(E31&lt;=30,"30 天內到期",IF(E31&lt;=90,"90 天內到期","正常"))))</f>
        <v/>
      </c>
    </row>
    <row r="32" customFormat="false" ht="15" hidden="false" customHeight="false" outlineLevel="0" collapsed="false">
      <c r="A32" s="14"/>
      <c r="B32" s="24"/>
      <c r="C32" s="25"/>
      <c r="D32" s="18"/>
      <c r="E32" s="19" t="str">
        <f aca="true">IF(C32="","",C32-TODAY())</f>
        <v/>
      </c>
      <c r="F32" s="20" t="str">
        <f aca="false">IF(E32="","",IF(E32&lt;0,"已過期",IF(E32&lt;=30,"30 天內到期",IF(E32&lt;=90,"90 天內到期","正常"))))</f>
        <v/>
      </c>
    </row>
    <row r="33" customFormat="false" ht="15" hidden="false" customHeight="false" outlineLevel="0" collapsed="false">
      <c r="A33" s="14"/>
      <c r="B33" s="24"/>
      <c r="C33" s="25"/>
      <c r="D33" s="18"/>
      <c r="E33" s="19" t="str">
        <f aca="true">IF(C33="","",C33-TODAY())</f>
        <v/>
      </c>
      <c r="F33" s="20" t="str">
        <f aca="false">IF(E33="","",IF(E33&lt;0,"已過期",IF(E33&lt;=30,"30 天內到期",IF(E33&lt;=90,"90 天內到期","正常"))))</f>
        <v/>
      </c>
    </row>
    <row r="34" customFormat="false" ht="15" hidden="false" customHeight="false" outlineLevel="0" collapsed="false">
      <c r="A34" s="14"/>
      <c r="B34" s="24"/>
      <c r="C34" s="25"/>
      <c r="D34" s="18"/>
      <c r="E34" s="19" t="str">
        <f aca="true">IF(C34="","",C34-TODAY())</f>
        <v/>
      </c>
      <c r="F34" s="20" t="str">
        <f aca="false">IF(E34="","",IF(E34&lt;0,"已過期",IF(E34&lt;=30,"30 天內到期",IF(E34&lt;=90,"90 天內到期","正常"))))</f>
        <v/>
      </c>
    </row>
    <row r="35" customFormat="false" ht="15" hidden="false" customHeight="false" outlineLevel="0" collapsed="false">
      <c r="A35" s="14"/>
      <c r="B35" s="24"/>
      <c r="C35" s="25"/>
      <c r="D35" s="18"/>
      <c r="E35" s="19" t="str">
        <f aca="true">IF(C35="","",C35-TODAY())</f>
        <v/>
      </c>
      <c r="F35" s="20" t="str">
        <f aca="false">IF(E35="","",IF(E35&lt;0,"已過期",IF(E35&lt;=30,"30 天內到期",IF(E35&lt;=90,"90 天內到期","正常"))))</f>
        <v/>
      </c>
    </row>
    <row r="36" customFormat="false" ht="15" hidden="false" customHeight="false" outlineLevel="0" collapsed="false">
      <c r="A36" s="14"/>
      <c r="B36" s="24"/>
      <c r="C36" s="25"/>
      <c r="D36" s="18"/>
      <c r="E36" s="19" t="str">
        <f aca="true">IF(C36="","",C36-TODAY())</f>
        <v/>
      </c>
      <c r="F36" s="20" t="str">
        <f aca="false">IF(E36="","",IF(E36&lt;0,"已過期",IF(E36&lt;=30,"30 天內到期",IF(E36&lt;=90,"90 天內到期","正常"))))</f>
        <v/>
      </c>
    </row>
    <row r="37" customFormat="false" ht="15" hidden="false" customHeight="false" outlineLevel="0" collapsed="false">
      <c r="A37" s="14"/>
      <c r="B37" s="24"/>
      <c r="C37" s="25"/>
      <c r="D37" s="18"/>
      <c r="E37" s="19" t="str">
        <f aca="true">IF(C37="","",C37-TODAY())</f>
        <v/>
      </c>
      <c r="F37" s="20" t="str">
        <f aca="false">IF(E37="","",IF(E37&lt;0,"已過期",IF(E37&lt;=30,"30 天內到期",IF(E37&lt;=90,"90 天內到期","正常"))))</f>
        <v/>
      </c>
    </row>
    <row r="38" customFormat="false" ht="15" hidden="false" customHeight="false" outlineLevel="0" collapsed="false">
      <c r="A38" s="14"/>
      <c r="B38" s="24"/>
      <c r="C38" s="25"/>
      <c r="D38" s="18"/>
      <c r="E38" s="19" t="str">
        <f aca="true">IF(C38="","",C38-TODAY())</f>
        <v/>
      </c>
      <c r="F38" s="20" t="str">
        <f aca="false">IF(E38="","",IF(E38&lt;0,"已過期",IF(E38&lt;=30,"30 天內到期",IF(E38&lt;=90,"90 天內到期","正常"))))</f>
        <v/>
      </c>
    </row>
    <row r="39" customFormat="false" ht="15" hidden="false" customHeight="false" outlineLevel="0" collapsed="false">
      <c r="A39" s="14"/>
      <c r="B39" s="24"/>
      <c r="C39" s="25"/>
      <c r="D39" s="18"/>
      <c r="E39" s="19" t="str">
        <f aca="true">IF(C39="","",C39-TODAY())</f>
        <v/>
      </c>
      <c r="F39" s="20" t="str">
        <f aca="false">IF(E39="","",IF(E39&lt;0,"已過期",IF(E39&lt;=30,"30 天內到期",IF(E39&lt;=90,"90 天內到期","正常"))))</f>
        <v/>
      </c>
    </row>
    <row r="40" customFormat="false" ht="15" hidden="false" customHeight="false" outlineLevel="0" collapsed="false">
      <c r="A40" s="14"/>
      <c r="B40" s="24"/>
      <c r="C40" s="25"/>
      <c r="D40" s="18"/>
      <c r="E40" s="19" t="str">
        <f aca="true">IF(C40="","",C40-TODAY())</f>
        <v/>
      </c>
      <c r="F40" s="20" t="str">
        <f aca="false">IF(E40="","",IF(E40&lt;0,"已過期",IF(E40&lt;=30,"30 天內到期",IF(E40&lt;=90,"90 天內到期","正常"))))</f>
        <v/>
      </c>
    </row>
    <row r="41" customFormat="false" ht="15" hidden="false" customHeight="false" outlineLevel="0" collapsed="false">
      <c r="A41" s="14"/>
      <c r="B41" s="24"/>
      <c r="C41" s="25"/>
      <c r="D41" s="18"/>
      <c r="E41" s="19" t="str">
        <f aca="true">IF(C41="","",C41-TODAY())</f>
        <v/>
      </c>
      <c r="F41" s="20" t="str">
        <f aca="false">IF(E41="","",IF(E41&lt;0,"已過期",IF(E41&lt;=30,"30 天內到期",IF(E41&lt;=90,"90 天內到期","正常"))))</f>
        <v/>
      </c>
    </row>
    <row r="42" customFormat="false" ht="15" hidden="false" customHeight="false" outlineLevel="0" collapsed="false">
      <c r="A42" s="14"/>
      <c r="B42" s="24"/>
      <c r="C42" s="25"/>
      <c r="D42" s="18"/>
      <c r="E42" s="19" t="str">
        <f aca="true">IF(C42="","",C42-TODAY())</f>
        <v/>
      </c>
      <c r="F42" s="20" t="str">
        <f aca="false">IF(E42="","",IF(E42&lt;0,"已過期",IF(E42&lt;=30,"30 天內到期",IF(E42&lt;=90,"90 天內到期","正常"))))</f>
        <v/>
      </c>
    </row>
    <row r="43" customFormat="false" ht="15" hidden="false" customHeight="false" outlineLevel="0" collapsed="false">
      <c r="A43" s="14"/>
      <c r="B43" s="24"/>
      <c r="C43" s="25"/>
      <c r="D43" s="18"/>
      <c r="E43" s="19" t="str">
        <f aca="true">IF(C43="","",C43-TODAY())</f>
        <v/>
      </c>
      <c r="F43" s="20" t="str">
        <f aca="false">IF(E43="","",IF(E43&lt;0,"已過期",IF(E43&lt;=30,"30 天內到期",IF(E43&lt;=90,"90 天內到期","正常"))))</f>
        <v/>
      </c>
    </row>
    <row r="44" customFormat="false" ht="15" hidden="false" customHeight="false" outlineLevel="0" collapsed="false">
      <c r="A44" s="14"/>
      <c r="B44" s="24"/>
      <c r="C44" s="25"/>
      <c r="D44" s="18"/>
      <c r="E44" s="19" t="str">
        <f aca="true">IF(C44="","",C44-TODAY())</f>
        <v/>
      </c>
      <c r="F44" s="20" t="str">
        <f aca="false">IF(E44="","",IF(E44&lt;0,"已過期",IF(E44&lt;=30,"30 天內到期",IF(E44&lt;=90,"90 天內到期","正常"))))</f>
        <v/>
      </c>
    </row>
    <row r="45" customFormat="false" ht="15" hidden="false" customHeight="false" outlineLevel="0" collapsed="false">
      <c r="A45" s="14"/>
      <c r="B45" s="24"/>
      <c r="C45" s="25"/>
      <c r="D45" s="18"/>
      <c r="E45" s="19" t="str">
        <f aca="true">IF(C45="","",C45-TODAY())</f>
        <v/>
      </c>
      <c r="F45" s="20" t="str">
        <f aca="false">IF(E45="","",IF(E45&lt;0,"已過期",IF(E45&lt;=30,"30 天內到期",IF(E45&lt;=90,"90 天內到期","正常"))))</f>
        <v/>
      </c>
    </row>
    <row r="46" customFormat="false" ht="15" hidden="false" customHeight="false" outlineLevel="0" collapsed="false">
      <c r="A46" s="14"/>
      <c r="B46" s="24"/>
      <c r="C46" s="25"/>
      <c r="D46" s="18"/>
      <c r="E46" s="19" t="str">
        <f aca="true">IF(C46="","",C46-TODAY())</f>
        <v/>
      </c>
      <c r="F46" s="20" t="str">
        <f aca="false">IF(E46="","",IF(E46&lt;0,"已過期",IF(E46&lt;=30,"30 天內到期",IF(E46&lt;=90,"90 天內到期","正常"))))</f>
        <v/>
      </c>
    </row>
    <row r="47" customFormat="false" ht="15" hidden="false" customHeight="false" outlineLevel="0" collapsed="false">
      <c r="A47" s="14"/>
      <c r="B47" s="24"/>
      <c r="C47" s="25"/>
      <c r="D47" s="18"/>
      <c r="E47" s="19" t="str">
        <f aca="true">IF(C47="","",C47-TODAY())</f>
        <v/>
      </c>
      <c r="F47" s="20" t="str">
        <f aca="false">IF(E47="","",IF(E47&lt;0,"已過期",IF(E47&lt;=30,"30 天內到期",IF(E47&lt;=90,"90 天內到期","正常"))))</f>
        <v/>
      </c>
    </row>
    <row r="48" customFormat="false" ht="15" hidden="false" customHeight="false" outlineLevel="0" collapsed="false">
      <c r="A48" s="14"/>
      <c r="B48" s="24"/>
      <c r="C48" s="25"/>
      <c r="D48" s="18"/>
      <c r="E48" s="19" t="str">
        <f aca="true">IF(C48="","",C48-TODAY())</f>
        <v/>
      </c>
      <c r="F48" s="20" t="str">
        <f aca="false">IF(E48="","",IF(E48&lt;0,"已過期",IF(E48&lt;=30,"30 天內到期",IF(E48&lt;=90,"90 天內到期","正常"))))</f>
        <v/>
      </c>
    </row>
    <row r="49" customFormat="false" ht="15" hidden="false" customHeight="false" outlineLevel="0" collapsed="false">
      <c r="A49" s="14"/>
      <c r="B49" s="24"/>
      <c r="C49" s="25"/>
      <c r="D49" s="18"/>
      <c r="E49" s="19" t="str">
        <f aca="true">IF(C49="","",C49-TODAY())</f>
        <v/>
      </c>
      <c r="F49" s="20" t="str">
        <f aca="false">IF(E49="","",IF(E49&lt;0,"已過期",IF(E49&lt;=30,"30 天內到期",IF(E49&lt;=90,"90 天內到期","正常"))))</f>
        <v/>
      </c>
    </row>
    <row r="50" customFormat="false" ht="15" hidden="false" customHeight="false" outlineLevel="0" collapsed="false">
      <c r="A50" s="14"/>
      <c r="B50" s="24"/>
      <c r="C50" s="25"/>
      <c r="D50" s="18"/>
      <c r="E50" s="19" t="str">
        <f aca="true">IF(C50="","",C50-TODAY())</f>
        <v/>
      </c>
      <c r="F50" s="20" t="str">
        <f aca="false">IF(E50="","",IF(E50&lt;0,"已過期",IF(E50&lt;=30,"30 天內到期",IF(E50&lt;=90,"90 天內到期","正常"))))</f>
        <v/>
      </c>
    </row>
    <row r="51" customFormat="false" ht="15" hidden="false" customHeight="false" outlineLevel="0" collapsed="false">
      <c r="A51" s="14"/>
      <c r="B51" s="24"/>
      <c r="C51" s="25"/>
      <c r="D51" s="18"/>
      <c r="E51" s="19" t="str">
        <f aca="true">IF(C51="","",C51-TODAY())</f>
        <v/>
      </c>
      <c r="F51" s="20" t="str">
        <f aca="false">IF(E51="","",IF(E51&lt;0,"已過期",IF(E51&lt;=30,"30 天內到期",IF(E51&lt;=90,"90 天內到期","正常"))))</f>
        <v/>
      </c>
    </row>
    <row r="52" customFormat="false" ht="15" hidden="false" customHeight="false" outlineLevel="0" collapsed="false">
      <c r="A52" s="14"/>
      <c r="B52" s="24"/>
      <c r="C52" s="25"/>
      <c r="D52" s="18"/>
      <c r="E52" s="19" t="str">
        <f aca="true">IF(C52="","",C52-TODAY())</f>
        <v/>
      </c>
      <c r="F52" s="20" t="str">
        <f aca="false">IF(E52="","",IF(E52&lt;0,"已過期",IF(E52&lt;=30,"30 天內到期",IF(E52&lt;=90,"90 天內到期","正常"))))</f>
        <v/>
      </c>
    </row>
    <row r="53" customFormat="false" ht="15" hidden="false" customHeight="false" outlineLevel="0" collapsed="false">
      <c r="A53" s="14"/>
      <c r="B53" s="24"/>
      <c r="C53" s="25"/>
      <c r="D53" s="18"/>
      <c r="E53" s="19" t="str">
        <f aca="true">IF(C53="","",C53-TODAY())</f>
        <v/>
      </c>
      <c r="F53" s="20" t="str">
        <f aca="false">IF(E53="","",IF(E53&lt;0,"已過期",IF(E53&lt;=30,"30 天內到期",IF(E53&lt;=90,"90 天內到期","正常"))))</f>
        <v/>
      </c>
    </row>
    <row r="54" customFormat="false" ht="15" hidden="false" customHeight="false" outlineLevel="0" collapsed="false">
      <c r="A54" s="14"/>
      <c r="B54" s="24"/>
      <c r="C54" s="25"/>
      <c r="D54" s="18"/>
      <c r="E54" s="19" t="str">
        <f aca="true">IF(C54="","",C54-TODAY())</f>
        <v/>
      </c>
      <c r="F54" s="20" t="str">
        <f aca="false">IF(E54="","",IF(E54&lt;0,"已過期",IF(E54&lt;=30,"30 天內到期",IF(E54&lt;=90,"90 天內到期","正常"))))</f>
        <v/>
      </c>
    </row>
    <row r="55" customFormat="false" ht="15" hidden="false" customHeight="false" outlineLevel="0" collapsed="false">
      <c r="A55" s="14"/>
      <c r="B55" s="24"/>
      <c r="C55" s="25"/>
      <c r="D55" s="18"/>
      <c r="E55" s="19" t="str">
        <f aca="true">IF(C55="","",C55-TODAY())</f>
        <v/>
      </c>
      <c r="F55" s="20" t="str">
        <f aca="false">IF(E55="","",IF(E55&lt;0,"已過期",IF(E55&lt;=30,"30 天內到期",IF(E55&lt;=90,"90 天內到期","正常"))))</f>
        <v/>
      </c>
    </row>
    <row r="56" customFormat="false" ht="15" hidden="false" customHeight="false" outlineLevel="0" collapsed="false">
      <c r="A56" s="14"/>
      <c r="B56" s="24"/>
      <c r="C56" s="25"/>
      <c r="D56" s="18"/>
      <c r="E56" s="19" t="str">
        <f aca="true">IF(C56="","",C56-TODAY())</f>
        <v/>
      </c>
      <c r="F56" s="20" t="str">
        <f aca="false">IF(E56="","",IF(E56&lt;0,"已過期",IF(E56&lt;=30,"30 天內到期",IF(E56&lt;=90,"90 天內到期","正常"))))</f>
        <v/>
      </c>
    </row>
    <row r="57" customFormat="false" ht="15" hidden="false" customHeight="false" outlineLevel="0" collapsed="false">
      <c r="A57" s="14"/>
      <c r="B57" s="24"/>
      <c r="C57" s="25"/>
      <c r="D57" s="18"/>
      <c r="E57" s="19" t="str">
        <f aca="true">IF(C57="","",C57-TODAY())</f>
        <v/>
      </c>
      <c r="F57" s="20" t="str">
        <f aca="false">IF(E57="","",IF(E57&lt;0,"已過期",IF(E57&lt;=30,"30 天內到期",IF(E57&lt;=90,"90 天內到期","正常"))))</f>
        <v/>
      </c>
    </row>
    <row r="58" customFormat="false" ht="15" hidden="false" customHeight="false" outlineLevel="0" collapsed="false">
      <c r="A58" s="14"/>
      <c r="B58" s="24"/>
      <c r="C58" s="25"/>
      <c r="D58" s="18"/>
      <c r="E58" s="19" t="str">
        <f aca="true">IF(C58="","",C58-TODAY())</f>
        <v/>
      </c>
      <c r="F58" s="20" t="str">
        <f aca="false">IF(E58="","",IF(E58&lt;0,"已過期",IF(E58&lt;=30,"30 天內到期",IF(E58&lt;=90,"90 天內到期","正常"))))</f>
        <v/>
      </c>
    </row>
    <row r="59" customFormat="false" ht="15" hidden="false" customHeight="false" outlineLevel="0" collapsed="false">
      <c r="A59" s="14"/>
      <c r="B59" s="24"/>
      <c r="C59" s="25"/>
      <c r="D59" s="18"/>
      <c r="E59" s="19" t="str">
        <f aca="true">IF(C59="","",C59-TODAY())</f>
        <v/>
      </c>
      <c r="F59" s="20" t="str">
        <f aca="false">IF(E59="","",IF(E59&lt;0,"已過期",IF(E59&lt;=30,"30 天內到期",IF(E59&lt;=90,"90 天內到期","正常"))))</f>
        <v/>
      </c>
    </row>
    <row r="60" customFormat="false" ht="15" hidden="false" customHeight="false" outlineLevel="0" collapsed="false">
      <c r="A60" s="14"/>
      <c r="B60" s="24"/>
      <c r="C60" s="25"/>
      <c r="D60" s="18"/>
      <c r="E60" s="19" t="str">
        <f aca="true">IF(C60="","",C60-TODAY())</f>
        <v/>
      </c>
      <c r="F60" s="20" t="str">
        <f aca="false">IF(E60="","",IF(E60&lt;0,"已過期",IF(E60&lt;=30,"30 天內到期",IF(E60&lt;=90,"90 天內到期","正常"))))</f>
        <v/>
      </c>
    </row>
    <row r="61" customFormat="false" ht="15" hidden="false" customHeight="false" outlineLevel="0" collapsed="false">
      <c r="A61" s="14"/>
      <c r="B61" s="24"/>
      <c r="C61" s="25"/>
      <c r="D61" s="18"/>
      <c r="E61" s="19" t="str">
        <f aca="true">IF(C61="","",C61-TODAY())</f>
        <v/>
      </c>
      <c r="F61" s="20" t="str">
        <f aca="false">IF(E61="","",IF(E61&lt;0,"已過期",IF(E61&lt;=30,"30 天內到期",IF(E61&lt;=90,"90 天內到期","正常"))))</f>
        <v/>
      </c>
    </row>
    <row r="62" customFormat="false" ht="15" hidden="false" customHeight="false" outlineLevel="0" collapsed="false">
      <c r="A62" s="14"/>
      <c r="B62" s="24"/>
      <c r="C62" s="25"/>
      <c r="D62" s="18"/>
      <c r="E62" s="19" t="str">
        <f aca="true">IF(C62="","",C62-TODAY())</f>
        <v/>
      </c>
      <c r="F62" s="20" t="str">
        <f aca="false">IF(E62="","",IF(E62&lt;0,"已過期",IF(E62&lt;=30,"30 天內到期",IF(E62&lt;=90,"90 天內到期","正常"))))</f>
        <v/>
      </c>
    </row>
    <row r="63" customFormat="false" ht="15" hidden="false" customHeight="false" outlineLevel="0" collapsed="false">
      <c r="A63" s="14"/>
      <c r="B63" s="24"/>
      <c r="C63" s="25"/>
      <c r="D63" s="18"/>
      <c r="E63" s="19" t="str">
        <f aca="true">IF(C63="","",C63-TODAY())</f>
        <v/>
      </c>
      <c r="F63" s="20" t="str">
        <f aca="false">IF(E63="","",IF(E63&lt;0,"已過期",IF(E63&lt;=30,"30 天內到期",IF(E63&lt;=90,"90 天內到期","正常"))))</f>
        <v/>
      </c>
    </row>
    <row r="64" customFormat="false" ht="15" hidden="false" customHeight="false" outlineLevel="0" collapsed="false">
      <c r="A64" s="14"/>
      <c r="B64" s="24"/>
      <c r="C64" s="25"/>
      <c r="D64" s="18"/>
      <c r="E64" s="19" t="str">
        <f aca="true">IF(C64="","",C64-TODAY())</f>
        <v/>
      </c>
      <c r="F64" s="20" t="str">
        <f aca="false">IF(E64="","",IF(E64&lt;0,"已過期",IF(E64&lt;=30,"30 天內到期",IF(E64&lt;=90,"90 天內到期","正常"))))</f>
        <v/>
      </c>
    </row>
    <row r="65" customFormat="false" ht="15" hidden="false" customHeight="false" outlineLevel="0" collapsed="false">
      <c r="A65" s="14"/>
      <c r="B65" s="24"/>
      <c r="C65" s="25"/>
      <c r="D65" s="18"/>
      <c r="E65" s="19" t="str">
        <f aca="true">IF(C65="","",C65-TODAY())</f>
        <v/>
      </c>
      <c r="F65" s="20" t="str">
        <f aca="false">IF(E65="","",IF(E65&lt;0,"已過期",IF(E65&lt;=30,"30 天內到期",IF(E65&lt;=90,"90 天內到期","正常"))))</f>
        <v/>
      </c>
    </row>
    <row r="66" customFormat="false" ht="15" hidden="false" customHeight="false" outlineLevel="0" collapsed="false">
      <c r="A66" s="14"/>
      <c r="B66" s="24"/>
      <c r="C66" s="25"/>
      <c r="D66" s="18"/>
      <c r="E66" s="19" t="str">
        <f aca="true">IF(C66="","",C66-TODAY())</f>
        <v/>
      </c>
      <c r="F66" s="20" t="str">
        <f aca="false">IF(E66="","",IF(E66&lt;0,"已過期",IF(E66&lt;=30,"30 天內到期",IF(E66&lt;=90,"90 天內到期","正常"))))</f>
        <v/>
      </c>
    </row>
    <row r="67" customFormat="false" ht="15" hidden="false" customHeight="false" outlineLevel="0" collapsed="false">
      <c r="A67" s="14"/>
      <c r="B67" s="24"/>
      <c r="C67" s="25"/>
      <c r="D67" s="18"/>
      <c r="E67" s="19" t="str">
        <f aca="true">IF(C67="","",C67-TODAY())</f>
        <v/>
      </c>
      <c r="F67" s="20" t="str">
        <f aca="false">IF(E67="","",IF(E67&lt;0,"已過期",IF(E67&lt;=30,"30 天內到期",IF(E67&lt;=90,"90 天內到期","正常"))))</f>
        <v/>
      </c>
    </row>
    <row r="68" customFormat="false" ht="15" hidden="false" customHeight="false" outlineLevel="0" collapsed="false">
      <c r="A68" s="14"/>
      <c r="B68" s="24"/>
      <c r="C68" s="25"/>
      <c r="D68" s="18"/>
      <c r="E68" s="19" t="str">
        <f aca="true">IF(C68="","",C68-TODAY())</f>
        <v/>
      </c>
      <c r="F68" s="20" t="str">
        <f aca="false">IF(E68="","",IF(E68&lt;0,"已過期",IF(E68&lt;=30,"30 天內到期",IF(E68&lt;=90,"90 天內到期","正常"))))</f>
        <v/>
      </c>
    </row>
    <row r="69" customFormat="false" ht="15" hidden="false" customHeight="false" outlineLevel="0" collapsed="false">
      <c r="A69" s="14"/>
      <c r="B69" s="24"/>
      <c r="C69" s="25"/>
      <c r="D69" s="18"/>
      <c r="E69" s="19" t="str">
        <f aca="true">IF(C69="","",C69-TODAY())</f>
        <v/>
      </c>
      <c r="F69" s="20" t="str">
        <f aca="false">IF(E69="","",IF(E69&lt;0,"已過期",IF(E69&lt;=30,"30 天內到期",IF(E69&lt;=90,"90 天內到期","正常"))))</f>
        <v/>
      </c>
    </row>
    <row r="70" customFormat="false" ht="15" hidden="false" customHeight="false" outlineLevel="0" collapsed="false">
      <c r="A70" s="14"/>
      <c r="B70" s="24"/>
      <c r="C70" s="25"/>
      <c r="D70" s="18"/>
      <c r="E70" s="19" t="str">
        <f aca="true">IF(C70="","",C70-TODAY())</f>
        <v/>
      </c>
      <c r="F70" s="20" t="str">
        <f aca="false">IF(E70="","",IF(E70&lt;0,"已過期",IF(E70&lt;=30,"30 天內到期",IF(E70&lt;=90,"90 天內到期","正常"))))</f>
        <v/>
      </c>
    </row>
    <row r="71" customFormat="false" ht="15" hidden="false" customHeight="false" outlineLevel="0" collapsed="false">
      <c r="A71" s="14"/>
      <c r="B71" s="24"/>
      <c r="C71" s="25"/>
      <c r="D71" s="18"/>
      <c r="E71" s="19" t="str">
        <f aca="true">IF(C71="","",C71-TODAY())</f>
        <v/>
      </c>
      <c r="F71" s="20" t="str">
        <f aca="false">IF(E71="","",IF(E71&lt;0,"已過期",IF(E71&lt;=30,"30 天內到期",IF(E71&lt;=90,"90 天內到期","正常"))))</f>
        <v/>
      </c>
    </row>
    <row r="72" customFormat="false" ht="15" hidden="false" customHeight="false" outlineLevel="0" collapsed="false">
      <c r="A72" s="14"/>
      <c r="B72" s="24"/>
      <c r="C72" s="25"/>
      <c r="D72" s="18"/>
      <c r="E72" s="19" t="str">
        <f aca="true">IF(C72="","",C72-TODAY())</f>
        <v/>
      </c>
      <c r="F72" s="20" t="str">
        <f aca="false">IF(E72="","",IF(E72&lt;0,"已過期",IF(E72&lt;=30,"30 天內到期",IF(E72&lt;=90,"90 天內到期","正常"))))</f>
        <v/>
      </c>
    </row>
    <row r="73" customFormat="false" ht="15" hidden="false" customHeight="false" outlineLevel="0" collapsed="false">
      <c r="A73" s="14"/>
      <c r="B73" s="24"/>
      <c r="C73" s="25"/>
      <c r="D73" s="18"/>
      <c r="E73" s="19" t="str">
        <f aca="true">IF(C73="","",C73-TODAY())</f>
        <v/>
      </c>
      <c r="F73" s="20" t="str">
        <f aca="false">IF(E73="","",IF(E73&lt;0,"已過期",IF(E73&lt;=30,"30 天內到期",IF(E73&lt;=90,"90 天內到期","正常"))))</f>
        <v/>
      </c>
    </row>
    <row r="74" customFormat="false" ht="15" hidden="false" customHeight="false" outlineLevel="0" collapsed="false">
      <c r="A74" s="14"/>
      <c r="B74" s="24"/>
      <c r="C74" s="25"/>
      <c r="D74" s="18"/>
      <c r="E74" s="19" t="str">
        <f aca="true">IF(C74="","",C74-TODAY())</f>
        <v/>
      </c>
      <c r="F74" s="20" t="str">
        <f aca="false">IF(E74="","",IF(E74&lt;0,"已過期",IF(E74&lt;=30,"30 天內到期",IF(E74&lt;=90,"90 天內到期","正常"))))</f>
        <v/>
      </c>
    </row>
    <row r="75" customFormat="false" ht="15" hidden="false" customHeight="false" outlineLevel="0" collapsed="false">
      <c r="A75" s="14"/>
      <c r="B75" s="24"/>
      <c r="C75" s="25"/>
      <c r="D75" s="18"/>
      <c r="E75" s="19" t="str">
        <f aca="true">IF(C75="","",C75-TODAY())</f>
        <v/>
      </c>
      <c r="F75" s="20" t="str">
        <f aca="false">IF(E75="","",IF(E75&lt;0,"已過期",IF(E75&lt;=30,"30 天內到期",IF(E75&lt;=90,"90 天內到期","正常"))))</f>
        <v/>
      </c>
    </row>
    <row r="76" customFormat="false" ht="15" hidden="false" customHeight="false" outlineLevel="0" collapsed="false">
      <c r="A76" s="14"/>
      <c r="B76" s="24"/>
      <c r="C76" s="25"/>
      <c r="D76" s="18"/>
      <c r="E76" s="19" t="str">
        <f aca="true">IF(C76="","",C76-TODAY())</f>
        <v/>
      </c>
      <c r="F76" s="20" t="str">
        <f aca="false">IF(E76="","",IF(E76&lt;0,"已過期",IF(E76&lt;=30,"30 天內到期",IF(E76&lt;=90,"90 天內到期","正常"))))</f>
        <v/>
      </c>
    </row>
    <row r="77" customFormat="false" ht="15" hidden="false" customHeight="false" outlineLevel="0" collapsed="false">
      <c r="A77" s="14"/>
      <c r="B77" s="24"/>
      <c r="C77" s="25"/>
      <c r="D77" s="18"/>
      <c r="E77" s="19" t="str">
        <f aca="true">IF(C77="","",C77-TODAY())</f>
        <v/>
      </c>
      <c r="F77" s="20" t="str">
        <f aca="false">IF(E77="","",IF(E77&lt;0,"已過期",IF(E77&lt;=30,"30 天內到期",IF(E77&lt;=90,"90 天內到期","正常"))))</f>
        <v/>
      </c>
    </row>
    <row r="78" customFormat="false" ht="15" hidden="false" customHeight="false" outlineLevel="0" collapsed="false">
      <c r="A78" s="14"/>
      <c r="B78" s="24"/>
      <c r="C78" s="25"/>
      <c r="D78" s="18"/>
      <c r="E78" s="19" t="str">
        <f aca="true">IF(C78="","",C78-TODAY())</f>
        <v/>
      </c>
      <c r="F78" s="20" t="str">
        <f aca="false">IF(E78="","",IF(E78&lt;0,"已過期",IF(E78&lt;=30,"30 天內到期",IF(E78&lt;=90,"90 天內到期","正常"))))</f>
        <v/>
      </c>
    </row>
    <row r="79" customFormat="false" ht="15" hidden="false" customHeight="false" outlineLevel="0" collapsed="false">
      <c r="A79" s="14"/>
      <c r="B79" s="24"/>
      <c r="C79" s="25"/>
      <c r="D79" s="18"/>
      <c r="E79" s="19" t="str">
        <f aca="true">IF(C79="","",C79-TODAY())</f>
        <v/>
      </c>
      <c r="F79" s="20" t="str">
        <f aca="false">IF(E79="","",IF(E79&lt;0,"已過期",IF(E79&lt;=30,"30 天內到期",IF(E79&lt;=90,"90 天內到期","正常"))))</f>
        <v/>
      </c>
    </row>
    <row r="80" customFormat="false" ht="15" hidden="false" customHeight="false" outlineLevel="0" collapsed="false">
      <c r="A80" s="14"/>
      <c r="B80" s="24"/>
      <c r="C80" s="25"/>
      <c r="D80" s="18"/>
      <c r="E80" s="19" t="str">
        <f aca="true">IF(C80="","",C80-TODAY())</f>
        <v/>
      </c>
      <c r="F80" s="20" t="str">
        <f aca="false">IF(E80="","",IF(E80&lt;0,"已過期",IF(E80&lt;=30,"30 天內到期",IF(E80&lt;=90,"90 天內到期","正常"))))</f>
        <v/>
      </c>
    </row>
    <row r="81" customFormat="false" ht="15" hidden="false" customHeight="false" outlineLevel="0" collapsed="false">
      <c r="A81" s="14"/>
      <c r="B81" s="24"/>
      <c r="C81" s="25"/>
      <c r="D81" s="18"/>
      <c r="E81" s="19" t="str">
        <f aca="true">IF(C81="","",C81-TODAY())</f>
        <v/>
      </c>
      <c r="F81" s="20" t="str">
        <f aca="false">IF(E81="","",IF(E81&lt;0,"已過期",IF(E81&lt;=30,"30 天內到期",IF(E81&lt;=90,"90 天內到期","正常"))))</f>
        <v/>
      </c>
    </row>
    <row r="82" customFormat="false" ht="15" hidden="false" customHeight="false" outlineLevel="0" collapsed="false">
      <c r="A82" s="14"/>
      <c r="B82" s="24"/>
      <c r="C82" s="25"/>
      <c r="D82" s="18"/>
      <c r="E82" s="19" t="str">
        <f aca="true">IF(C82="","",C82-TODAY())</f>
        <v/>
      </c>
      <c r="F82" s="20" t="str">
        <f aca="false">IF(E82="","",IF(E82&lt;0,"已過期",IF(E82&lt;=30,"30 天內到期",IF(E82&lt;=90,"90 天內到期","正常"))))</f>
        <v/>
      </c>
    </row>
    <row r="83" customFormat="false" ht="15" hidden="false" customHeight="false" outlineLevel="0" collapsed="false">
      <c r="A83" s="14"/>
      <c r="B83" s="24"/>
      <c r="C83" s="25"/>
      <c r="D83" s="18"/>
      <c r="E83" s="19" t="str">
        <f aca="true">IF(C83="","",C83-TODAY())</f>
        <v/>
      </c>
      <c r="F83" s="20" t="str">
        <f aca="false">IF(E83="","",IF(E83&lt;0,"已過期",IF(E83&lt;=30,"30 天內到期",IF(E83&lt;=90,"90 天內到期","正常"))))</f>
        <v/>
      </c>
    </row>
    <row r="84" customFormat="false" ht="15" hidden="false" customHeight="false" outlineLevel="0" collapsed="false">
      <c r="A84" s="14"/>
      <c r="B84" s="24"/>
      <c r="C84" s="25"/>
      <c r="D84" s="18"/>
      <c r="E84" s="19" t="str">
        <f aca="true">IF(C84="","",C84-TODAY())</f>
        <v/>
      </c>
      <c r="F84" s="20" t="str">
        <f aca="false">IF(E84="","",IF(E84&lt;0,"已過期",IF(E84&lt;=30,"30 天內到期",IF(E84&lt;=90,"90 天內到期","正常"))))</f>
        <v/>
      </c>
    </row>
    <row r="85" customFormat="false" ht="15" hidden="false" customHeight="false" outlineLevel="0" collapsed="false">
      <c r="A85" s="14"/>
      <c r="B85" s="24"/>
      <c r="C85" s="25"/>
      <c r="D85" s="18"/>
      <c r="E85" s="19" t="str">
        <f aca="true">IF(C85="","",C85-TODAY())</f>
        <v/>
      </c>
      <c r="F85" s="20" t="str">
        <f aca="false">IF(E85="","",IF(E85&lt;0,"已過期",IF(E85&lt;=30,"30 天內到期",IF(E85&lt;=90,"90 天內到期","正常"))))</f>
        <v/>
      </c>
    </row>
    <row r="86" customFormat="false" ht="15" hidden="false" customHeight="false" outlineLevel="0" collapsed="false">
      <c r="A86" s="14"/>
      <c r="B86" s="24"/>
      <c r="C86" s="25"/>
      <c r="D86" s="18"/>
      <c r="E86" s="19" t="str">
        <f aca="true">IF(C86="","",C86-TODAY())</f>
        <v/>
      </c>
      <c r="F86" s="20" t="str">
        <f aca="false">IF(E86="","",IF(E86&lt;0,"已過期",IF(E86&lt;=30,"30 天內到期",IF(E86&lt;=90,"90 天內到期","正常"))))</f>
        <v/>
      </c>
    </row>
    <row r="87" customFormat="false" ht="15" hidden="false" customHeight="false" outlineLevel="0" collapsed="false">
      <c r="A87" s="14"/>
      <c r="B87" s="24"/>
      <c r="C87" s="25"/>
      <c r="D87" s="18"/>
      <c r="E87" s="19" t="str">
        <f aca="true">IF(C87="","",C87-TODAY())</f>
        <v/>
      </c>
      <c r="F87" s="20" t="str">
        <f aca="false">IF(E87="","",IF(E87&lt;0,"已過期",IF(E87&lt;=30,"30 天內到期",IF(E87&lt;=90,"90 天內到期","正常"))))</f>
        <v/>
      </c>
    </row>
    <row r="88" customFormat="false" ht="15" hidden="false" customHeight="false" outlineLevel="0" collapsed="false">
      <c r="A88" s="14"/>
      <c r="B88" s="24"/>
      <c r="C88" s="25"/>
      <c r="D88" s="18"/>
      <c r="E88" s="19" t="str">
        <f aca="true">IF(C88="","",C88-TODAY())</f>
        <v/>
      </c>
      <c r="F88" s="20" t="str">
        <f aca="false">IF(E88="","",IF(E88&lt;0,"已過期",IF(E88&lt;=30,"30 天內到期",IF(E88&lt;=90,"90 天內到期","正常"))))</f>
        <v/>
      </c>
    </row>
    <row r="89" customFormat="false" ht="15" hidden="false" customHeight="false" outlineLevel="0" collapsed="false">
      <c r="A89" s="14"/>
      <c r="B89" s="24"/>
      <c r="C89" s="25"/>
      <c r="D89" s="18"/>
      <c r="E89" s="19" t="str">
        <f aca="true">IF(C89="","",C89-TODAY())</f>
        <v/>
      </c>
      <c r="F89" s="20" t="str">
        <f aca="false">IF(E89="","",IF(E89&lt;0,"已過期",IF(E89&lt;=30,"30 天內到期",IF(E89&lt;=90,"90 天內到期","正常"))))</f>
        <v/>
      </c>
    </row>
    <row r="90" customFormat="false" ht="15" hidden="false" customHeight="false" outlineLevel="0" collapsed="false">
      <c r="A90" s="14"/>
      <c r="B90" s="24"/>
      <c r="C90" s="25"/>
      <c r="D90" s="18"/>
      <c r="E90" s="19" t="str">
        <f aca="true">IF(C90="","",C90-TODAY())</f>
        <v/>
      </c>
      <c r="F90" s="20" t="str">
        <f aca="false">IF(E90="","",IF(E90&lt;0,"已過期",IF(E90&lt;=30,"30 天內到期",IF(E90&lt;=90,"90 天內到期","正常"))))</f>
        <v/>
      </c>
    </row>
    <row r="91" customFormat="false" ht="15" hidden="false" customHeight="false" outlineLevel="0" collapsed="false">
      <c r="A91" s="14"/>
      <c r="B91" s="24"/>
      <c r="C91" s="25"/>
      <c r="D91" s="18"/>
      <c r="E91" s="19" t="str">
        <f aca="true">IF(C91="","",C91-TODAY())</f>
        <v/>
      </c>
      <c r="F91" s="20" t="str">
        <f aca="false">IF(E91="","",IF(E91&lt;0,"已過期",IF(E91&lt;=30,"30 天內到期",IF(E91&lt;=90,"90 天內到期","正常"))))</f>
        <v/>
      </c>
    </row>
    <row r="92" customFormat="false" ht="15" hidden="false" customHeight="false" outlineLevel="0" collapsed="false">
      <c r="A92" s="14"/>
      <c r="B92" s="24"/>
      <c r="C92" s="25"/>
      <c r="D92" s="18"/>
      <c r="E92" s="19" t="str">
        <f aca="true">IF(C92="","",C92-TODAY())</f>
        <v/>
      </c>
      <c r="F92" s="20" t="str">
        <f aca="false">IF(E92="","",IF(E92&lt;0,"已過期",IF(E92&lt;=30,"30 天內到期",IF(E92&lt;=90,"90 天內到期","正常"))))</f>
        <v/>
      </c>
    </row>
    <row r="93" customFormat="false" ht="15" hidden="false" customHeight="false" outlineLevel="0" collapsed="false">
      <c r="A93" s="14"/>
      <c r="B93" s="24"/>
      <c r="C93" s="25"/>
      <c r="D93" s="18"/>
      <c r="E93" s="19" t="str">
        <f aca="true">IF(C93="","",C93-TODAY())</f>
        <v/>
      </c>
      <c r="F93" s="20" t="str">
        <f aca="false">IF(E93="","",IF(E93&lt;0,"已過期",IF(E93&lt;=30,"30 天內到期",IF(E93&lt;=90,"90 天內到期","正常"))))</f>
        <v/>
      </c>
    </row>
    <row r="94" customFormat="false" ht="15" hidden="false" customHeight="false" outlineLevel="0" collapsed="false">
      <c r="A94" s="14"/>
      <c r="B94" s="24"/>
      <c r="C94" s="25"/>
      <c r="D94" s="18"/>
      <c r="E94" s="19" t="str">
        <f aca="true">IF(C94="","",C94-TODAY())</f>
        <v/>
      </c>
      <c r="F94" s="20" t="str">
        <f aca="false">IF(E94="","",IF(E94&lt;0,"已過期",IF(E94&lt;=30,"30 天內到期",IF(E94&lt;=90,"90 天內到期","正常"))))</f>
        <v/>
      </c>
    </row>
    <row r="95" customFormat="false" ht="15" hidden="false" customHeight="false" outlineLevel="0" collapsed="false">
      <c r="A95" s="14"/>
      <c r="B95" s="24"/>
      <c r="C95" s="25"/>
      <c r="D95" s="18"/>
      <c r="E95" s="19" t="str">
        <f aca="true">IF(C95="","",C95-TODAY())</f>
        <v/>
      </c>
      <c r="F95" s="20" t="str">
        <f aca="false">IF(E95="","",IF(E95&lt;0,"已過期",IF(E95&lt;=30,"30 天內到期",IF(E95&lt;=90,"90 天內到期","正常"))))</f>
        <v/>
      </c>
    </row>
    <row r="96" customFormat="false" ht="15" hidden="false" customHeight="false" outlineLevel="0" collapsed="false">
      <c r="A96" s="14"/>
      <c r="B96" s="24"/>
      <c r="C96" s="25"/>
      <c r="D96" s="18"/>
      <c r="E96" s="19" t="str">
        <f aca="true">IF(C96="","",C96-TODAY())</f>
        <v/>
      </c>
      <c r="F96" s="20" t="str">
        <f aca="false">IF(E96="","",IF(E96&lt;0,"已過期",IF(E96&lt;=30,"30 天內到期",IF(E96&lt;=90,"90 天內到期","正常"))))</f>
        <v/>
      </c>
    </row>
    <row r="97" customFormat="false" ht="15" hidden="false" customHeight="false" outlineLevel="0" collapsed="false">
      <c r="A97" s="14"/>
      <c r="B97" s="24"/>
      <c r="C97" s="25"/>
      <c r="D97" s="18"/>
      <c r="E97" s="19" t="str">
        <f aca="true">IF(C97="","",C97-TODAY())</f>
        <v/>
      </c>
      <c r="F97" s="20" t="str">
        <f aca="false">IF(E97="","",IF(E97&lt;0,"已過期",IF(E97&lt;=30,"30 天內到期",IF(E97&lt;=90,"90 天內到期","正常"))))</f>
        <v/>
      </c>
    </row>
    <row r="98" customFormat="false" ht="15" hidden="false" customHeight="false" outlineLevel="0" collapsed="false">
      <c r="A98" s="14"/>
      <c r="B98" s="24"/>
      <c r="C98" s="25"/>
      <c r="D98" s="18"/>
      <c r="E98" s="19" t="str">
        <f aca="true">IF(C98="","",C98-TODAY())</f>
        <v/>
      </c>
      <c r="F98" s="20" t="str">
        <f aca="false">IF(E98="","",IF(E98&lt;0,"已過期",IF(E98&lt;=30,"30 天內到期",IF(E98&lt;=90,"90 天內到期","正常"))))</f>
        <v/>
      </c>
    </row>
    <row r="99" customFormat="false" ht="15" hidden="false" customHeight="false" outlineLevel="0" collapsed="false">
      <c r="A99" s="14"/>
      <c r="B99" s="24"/>
      <c r="C99" s="25"/>
      <c r="D99" s="18"/>
      <c r="E99" s="19" t="str">
        <f aca="true">IF(C99="","",C99-TODAY())</f>
        <v/>
      </c>
      <c r="F99" s="20" t="str">
        <f aca="false">IF(E99="","",IF(E99&lt;0,"已過期",IF(E99&lt;=30,"30 天內到期",IF(E99&lt;=90,"90 天內到期","正常"))))</f>
        <v/>
      </c>
    </row>
    <row r="100" customFormat="false" ht="15" hidden="false" customHeight="false" outlineLevel="0" collapsed="false">
      <c r="A100" s="14"/>
      <c r="B100" s="24"/>
      <c r="C100" s="25"/>
      <c r="D100" s="18"/>
      <c r="E100" s="19" t="str">
        <f aca="true">IF(C100="","",C100-TODAY())</f>
        <v/>
      </c>
      <c r="F100" s="20" t="str">
        <f aca="false">IF(E100="","",IF(E100&lt;0,"已過期",IF(E100&lt;=30,"30 天內到期",IF(E100&lt;=90,"90 天內到期","正常"))))</f>
        <v/>
      </c>
    </row>
    <row r="101" customFormat="false" ht="15" hidden="false" customHeight="false" outlineLevel="0" collapsed="false">
      <c r="A101" s="14"/>
      <c r="B101" s="24"/>
      <c r="C101" s="25"/>
      <c r="D101" s="18"/>
      <c r="E101" s="19" t="str">
        <f aca="true">IF(C101="","",C101-TODAY())</f>
        <v/>
      </c>
      <c r="F101" s="20" t="str">
        <f aca="false">IF(E101="","",IF(E101&lt;0,"已過期",IF(E101&lt;=30,"30 天內到期",IF(E101&lt;=90,"90 天內到期","正常"))))</f>
        <v/>
      </c>
    </row>
    <row r="102" customFormat="false" ht="15" hidden="false" customHeight="false" outlineLevel="0" collapsed="false">
      <c r="A102" s="14"/>
      <c r="B102" s="24"/>
      <c r="C102" s="25"/>
      <c r="D102" s="18"/>
      <c r="E102" s="19" t="str">
        <f aca="true">IF(C102="","",C102-TODAY())</f>
        <v/>
      </c>
      <c r="F102" s="20" t="str">
        <f aca="false">IF(E102="","",IF(E102&lt;0,"已過期",IF(E102&lt;=30,"30 天內到期",IF(E102&lt;=90,"90 天內到期","正常"))))</f>
        <v/>
      </c>
    </row>
    <row r="103" customFormat="false" ht="15" hidden="false" customHeight="false" outlineLevel="0" collapsed="false">
      <c r="A103" s="14"/>
      <c r="B103" s="24"/>
      <c r="C103" s="25"/>
      <c r="D103" s="18"/>
      <c r="E103" s="19" t="str">
        <f aca="true">IF(C103="","",C103-TODAY())</f>
        <v/>
      </c>
      <c r="F103" s="20" t="str">
        <f aca="false">IF(E103="","",IF(E103&lt;0,"已過期",IF(E103&lt;=30,"30 天內到期",IF(E103&lt;=90,"90 天內到期","正常"))))</f>
        <v/>
      </c>
    </row>
    <row r="104" customFormat="false" ht="15" hidden="false" customHeight="false" outlineLevel="0" collapsed="false">
      <c r="A104" s="14"/>
      <c r="B104" s="24"/>
      <c r="C104" s="25"/>
      <c r="D104" s="18"/>
      <c r="E104" s="19" t="str">
        <f aca="true">IF(C104="","",C104-TODAY())</f>
        <v/>
      </c>
      <c r="F104" s="20" t="str">
        <f aca="false">IF(E104="","",IF(E104&lt;0,"已過期",IF(E104&lt;=30,"30 天內到期",IF(E104&lt;=90,"90 天內到期","正常"))))</f>
        <v/>
      </c>
    </row>
    <row r="105" customFormat="false" ht="15" hidden="false" customHeight="false" outlineLevel="0" collapsed="false">
      <c r="A105" s="14"/>
      <c r="B105" s="24"/>
      <c r="C105" s="25"/>
      <c r="D105" s="18"/>
      <c r="E105" s="19" t="str">
        <f aca="true">IF(C105="","",C105-TODAY())</f>
        <v/>
      </c>
      <c r="F105" s="20" t="str">
        <f aca="false">IF(E105="","",IF(E105&lt;0,"已過期",IF(E105&lt;=30,"30 天內到期",IF(E105&lt;=90,"90 天內到期","正常"))))</f>
        <v/>
      </c>
    </row>
    <row r="106" customFormat="false" ht="15" hidden="false" customHeight="false" outlineLevel="0" collapsed="false">
      <c r="A106" s="14"/>
      <c r="B106" s="24"/>
      <c r="C106" s="25"/>
      <c r="D106" s="18"/>
      <c r="E106" s="19" t="str">
        <f aca="true">IF(C106="","",C106-TODAY())</f>
        <v/>
      </c>
      <c r="F106" s="20" t="str">
        <f aca="false">IF(E106="","",IF(E106&lt;0,"已過期",IF(E106&lt;=30,"30 天內到期",IF(E106&lt;=90,"90 天內到期","正常"))))</f>
        <v/>
      </c>
    </row>
    <row r="107" customFormat="false" ht="15" hidden="false" customHeight="false" outlineLevel="0" collapsed="false">
      <c r="A107" s="14"/>
      <c r="B107" s="24"/>
      <c r="C107" s="25"/>
      <c r="D107" s="18"/>
      <c r="E107" s="19" t="str">
        <f aca="true">IF(C107="","",C107-TODAY())</f>
        <v/>
      </c>
      <c r="F107" s="20" t="str">
        <f aca="false">IF(E107="","",IF(E107&lt;0,"已過期",IF(E107&lt;=30,"30 天內到期",IF(E107&lt;=90,"90 天內到期","正常"))))</f>
        <v/>
      </c>
    </row>
    <row r="108" customFormat="false" ht="15" hidden="false" customHeight="false" outlineLevel="0" collapsed="false">
      <c r="A108" s="14"/>
      <c r="B108" s="24"/>
      <c r="C108" s="25"/>
      <c r="D108" s="18"/>
      <c r="E108" s="19" t="str">
        <f aca="true">IF(C108="","",C108-TODAY())</f>
        <v/>
      </c>
      <c r="F108" s="20" t="str">
        <f aca="false">IF(E108="","",IF(E108&lt;0,"已過期",IF(E108&lt;=30,"30 天內到期",IF(E108&lt;=90,"90 天內到期","正常"))))</f>
        <v/>
      </c>
    </row>
    <row r="109" customFormat="false" ht="15" hidden="false" customHeight="false" outlineLevel="0" collapsed="false">
      <c r="A109" s="14"/>
      <c r="B109" s="24"/>
      <c r="C109" s="25"/>
      <c r="D109" s="18"/>
      <c r="E109" s="19" t="str">
        <f aca="true">IF(C109="","",C109-TODAY())</f>
        <v/>
      </c>
      <c r="F109" s="20" t="str">
        <f aca="false">IF(E109="","",IF(E109&lt;0,"已過期",IF(E109&lt;=30,"30 天內到期",IF(E109&lt;=90,"90 天內到期","正常"))))</f>
        <v/>
      </c>
    </row>
    <row r="110" customFormat="false" ht="15" hidden="false" customHeight="false" outlineLevel="0" collapsed="false">
      <c r="A110" s="14"/>
      <c r="B110" s="24"/>
      <c r="C110" s="25"/>
      <c r="D110" s="18"/>
      <c r="E110" s="19" t="str">
        <f aca="true">IF(C110="","",C110-TODAY())</f>
        <v/>
      </c>
      <c r="F110" s="20" t="str">
        <f aca="false">IF(E110="","",IF(E110&lt;0,"已過期",IF(E110&lt;=30,"30 天內到期",IF(E110&lt;=90,"90 天內到期","正常"))))</f>
        <v/>
      </c>
    </row>
    <row r="111" customFormat="false" ht="15" hidden="false" customHeight="false" outlineLevel="0" collapsed="false">
      <c r="A111" s="14"/>
      <c r="B111" s="24"/>
      <c r="C111" s="25"/>
      <c r="D111" s="18"/>
      <c r="E111" s="19" t="str">
        <f aca="true">IF(C111="","",C111-TODAY())</f>
        <v/>
      </c>
      <c r="F111" s="20" t="str">
        <f aca="false">IF(E111="","",IF(E111&lt;0,"已過期",IF(E111&lt;=30,"30 天內到期",IF(E111&lt;=90,"90 天內到期","正常"))))</f>
        <v/>
      </c>
    </row>
    <row r="112" customFormat="false" ht="15" hidden="false" customHeight="false" outlineLevel="0" collapsed="false">
      <c r="A112" s="14"/>
      <c r="B112" s="24"/>
      <c r="C112" s="25"/>
      <c r="D112" s="18"/>
      <c r="E112" s="19" t="str">
        <f aca="true">IF(C112="","",C112-TODAY())</f>
        <v/>
      </c>
      <c r="F112" s="20" t="str">
        <f aca="false">IF(E112="","",IF(E112&lt;0,"已過期",IF(E112&lt;=30,"30 天內到期",IF(E112&lt;=90,"90 天內到期","正常"))))</f>
        <v/>
      </c>
    </row>
    <row r="113" customFormat="false" ht="15" hidden="false" customHeight="false" outlineLevel="0" collapsed="false">
      <c r="A113" s="14"/>
      <c r="B113" s="24"/>
      <c r="C113" s="25"/>
      <c r="D113" s="18"/>
      <c r="E113" s="19" t="str">
        <f aca="true">IF(C113="","",C113-TODAY())</f>
        <v/>
      </c>
      <c r="F113" s="20" t="str">
        <f aca="false">IF(E113="","",IF(E113&lt;0,"已過期",IF(E113&lt;=30,"30 天內到期",IF(E113&lt;=90,"90 天內到期","正常"))))</f>
        <v/>
      </c>
    </row>
    <row r="114" customFormat="false" ht="15" hidden="false" customHeight="false" outlineLevel="0" collapsed="false">
      <c r="A114" s="14"/>
      <c r="B114" s="24"/>
      <c r="C114" s="25"/>
      <c r="D114" s="18"/>
      <c r="E114" s="19" t="str">
        <f aca="true">IF(C114="","",C114-TODAY())</f>
        <v/>
      </c>
      <c r="F114" s="20" t="str">
        <f aca="false">IF(E114="","",IF(E114&lt;0,"已過期",IF(E114&lt;=30,"30 天內到期",IF(E114&lt;=90,"90 天內到期","正常"))))</f>
        <v/>
      </c>
    </row>
    <row r="115" customFormat="false" ht="15" hidden="false" customHeight="false" outlineLevel="0" collapsed="false">
      <c r="A115" s="14"/>
      <c r="B115" s="24"/>
      <c r="C115" s="25"/>
      <c r="D115" s="18"/>
      <c r="E115" s="19" t="str">
        <f aca="true">IF(C115="","",C115-TODAY())</f>
        <v/>
      </c>
      <c r="F115" s="20" t="str">
        <f aca="false">IF(E115="","",IF(E115&lt;0,"已過期",IF(E115&lt;=30,"30 天內到期",IF(E115&lt;=90,"90 天內到期","正常"))))</f>
        <v/>
      </c>
    </row>
    <row r="116" customFormat="false" ht="15" hidden="false" customHeight="false" outlineLevel="0" collapsed="false">
      <c r="A116" s="14"/>
      <c r="B116" s="24"/>
      <c r="C116" s="25"/>
      <c r="D116" s="18"/>
      <c r="E116" s="19" t="str">
        <f aca="true">IF(C116="","",C116-TODAY())</f>
        <v/>
      </c>
      <c r="F116" s="20" t="str">
        <f aca="false">IF(E116="","",IF(E116&lt;0,"已過期",IF(E116&lt;=30,"30 天內到期",IF(E116&lt;=90,"90 天內到期","正常"))))</f>
        <v/>
      </c>
    </row>
    <row r="117" customFormat="false" ht="15" hidden="false" customHeight="false" outlineLevel="0" collapsed="false">
      <c r="A117" s="14"/>
      <c r="B117" s="24"/>
      <c r="C117" s="25"/>
      <c r="D117" s="18"/>
      <c r="E117" s="19" t="str">
        <f aca="true">IF(C117="","",C117-TODAY())</f>
        <v/>
      </c>
      <c r="F117" s="20" t="str">
        <f aca="false">IF(E117="","",IF(E117&lt;0,"已過期",IF(E117&lt;=30,"30 天內到期",IF(E117&lt;=90,"90 天內到期","正常"))))</f>
        <v/>
      </c>
    </row>
    <row r="118" customFormat="false" ht="15" hidden="false" customHeight="false" outlineLevel="0" collapsed="false">
      <c r="A118" s="14"/>
      <c r="B118" s="24"/>
      <c r="C118" s="25"/>
      <c r="D118" s="18"/>
      <c r="E118" s="19" t="str">
        <f aca="true">IF(C118="","",C118-TODAY())</f>
        <v/>
      </c>
      <c r="F118" s="20" t="str">
        <f aca="false">IF(E118="","",IF(E118&lt;0,"已過期",IF(E118&lt;=30,"30 天內到期",IF(E118&lt;=90,"90 天內到期","正常"))))</f>
        <v/>
      </c>
    </row>
    <row r="119" customFormat="false" ht="15" hidden="false" customHeight="false" outlineLevel="0" collapsed="false">
      <c r="A119" s="14"/>
      <c r="B119" s="24"/>
      <c r="C119" s="25"/>
      <c r="D119" s="18"/>
      <c r="E119" s="19" t="str">
        <f aca="true">IF(C119="","",C119-TODAY())</f>
        <v/>
      </c>
      <c r="F119" s="20" t="str">
        <f aca="false">IF(E119="","",IF(E119&lt;0,"已過期",IF(E119&lt;=30,"30 天內到期",IF(E119&lt;=90,"90 天內到期","正常"))))</f>
        <v/>
      </c>
    </row>
    <row r="120" customFormat="false" ht="15" hidden="false" customHeight="false" outlineLevel="0" collapsed="false">
      <c r="A120" s="14"/>
      <c r="B120" s="24"/>
      <c r="C120" s="25"/>
      <c r="D120" s="18"/>
      <c r="E120" s="19" t="str">
        <f aca="true">IF(C120="","",C120-TODAY())</f>
        <v/>
      </c>
      <c r="F120" s="20" t="str">
        <f aca="false">IF(E120="","",IF(E120&lt;0,"已過期",IF(E120&lt;=30,"30 天內到期",IF(E120&lt;=90,"90 天內到期","正常"))))</f>
        <v/>
      </c>
    </row>
    <row r="121" customFormat="false" ht="15" hidden="false" customHeight="false" outlineLevel="0" collapsed="false">
      <c r="A121" s="14"/>
      <c r="B121" s="24"/>
      <c r="C121" s="25"/>
      <c r="D121" s="18"/>
      <c r="E121" s="19" t="str">
        <f aca="true">IF(C121="","",C121-TODAY())</f>
        <v/>
      </c>
      <c r="F121" s="20" t="str">
        <f aca="false">IF(E121="","",IF(E121&lt;0,"已過期",IF(E121&lt;=30,"30 天內到期",IF(E121&lt;=90,"90 天內到期","正常"))))</f>
        <v/>
      </c>
    </row>
    <row r="122" customFormat="false" ht="15" hidden="false" customHeight="false" outlineLevel="0" collapsed="false">
      <c r="A122" s="14"/>
      <c r="B122" s="24"/>
      <c r="C122" s="25"/>
      <c r="D122" s="18"/>
      <c r="E122" s="19" t="str">
        <f aca="true">IF(C122="","",C122-TODAY())</f>
        <v/>
      </c>
      <c r="F122" s="20" t="str">
        <f aca="false">IF(E122="","",IF(E122&lt;0,"已過期",IF(E122&lt;=30,"30 天內到期",IF(E122&lt;=90,"90 天內到期","正常"))))</f>
        <v/>
      </c>
    </row>
    <row r="123" customFormat="false" ht="15" hidden="false" customHeight="false" outlineLevel="0" collapsed="false">
      <c r="A123" s="14"/>
      <c r="B123" s="24"/>
      <c r="C123" s="25"/>
      <c r="D123" s="18"/>
      <c r="E123" s="19" t="str">
        <f aca="true">IF(C123="","",C123-TODAY())</f>
        <v/>
      </c>
      <c r="F123" s="20" t="str">
        <f aca="false">IF(E123="","",IF(E123&lt;0,"已過期",IF(E123&lt;=30,"30 天內到期",IF(E123&lt;=90,"90 天內到期","正常"))))</f>
        <v/>
      </c>
    </row>
    <row r="124" customFormat="false" ht="15" hidden="false" customHeight="false" outlineLevel="0" collapsed="false">
      <c r="A124" s="14"/>
      <c r="B124" s="24"/>
      <c r="C124" s="25"/>
      <c r="D124" s="18"/>
      <c r="E124" s="19" t="str">
        <f aca="true">IF(C124="","",C124-TODAY())</f>
        <v/>
      </c>
      <c r="F124" s="20" t="str">
        <f aca="false">IF(E124="","",IF(E124&lt;0,"已過期",IF(E124&lt;=30,"30 天內到期",IF(E124&lt;=90,"90 天內到期","正常"))))</f>
        <v/>
      </c>
    </row>
    <row r="125" customFormat="false" ht="15" hidden="false" customHeight="false" outlineLevel="0" collapsed="false">
      <c r="A125" s="14"/>
      <c r="B125" s="24"/>
      <c r="C125" s="25"/>
      <c r="D125" s="18"/>
      <c r="E125" s="19" t="str">
        <f aca="true">IF(C125="","",C125-TODAY())</f>
        <v/>
      </c>
      <c r="F125" s="20" t="str">
        <f aca="false">IF(E125="","",IF(E125&lt;0,"已過期",IF(E125&lt;=30,"30 天內到期",IF(E125&lt;=90,"90 天內到期","正常"))))</f>
        <v/>
      </c>
    </row>
    <row r="126" customFormat="false" ht="15" hidden="false" customHeight="false" outlineLevel="0" collapsed="false">
      <c r="A126" s="14"/>
      <c r="B126" s="24"/>
      <c r="C126" s="25"/>
      <c r="D126" s="18"/>
      <c r="E126" s="19" t="str">
        <f aca="true">IF(C126="","",C126-TODAY())</f>
        <v/>
      </c>
      <c r="F126" s="20" t="str">
        <f aca="false">IF(E126="","",IF(E126&lt;0,"已過期",IF(E126&lt;=30,"30 天內到期",IF(E126&lt;=90,"90 天內到期","正常"))))</f>
        <v/>
      </c>
    </row>
    <row r="127" customFormat="false" ht="15" hidden="false" customHeight="false" outlineLevel="0" collapsed="false">
      <c r="A127" s="14"/>
      <c r="B127" s="24"/>
      <c r="C127" s="25"/>
      <c r="D127" s="18"/>
      <c r="E127" s="19" t="str">
        <f aca="true">IF(C127="","",C127-TODAY())</f>
        <v/>
      </c>
      <c r="F127" s="20" t="str">
        <f aca="false">IF(E127="","",IF(E127&lt;0,"已過期",IF(E127&lt;=30,"30 天內到期",IF(E127&lt;=90,"90 天內到期","正常"))))</f>
        <v/>
      </c>
    </row>
    <row r="128" customFormat="false" ht="15" hidden="false" customHeight="false" outlineLevel="0" collapsed="false">
      <c r="A128" s="14"/>
      <c r="B128" s="24"/>
      <c r="C128" s="25"/>
      <c r="D128" s="18"/>
      <c r="E128" s="19" t="str">
        <f aca="true">IF(C128="","",C128-TODAY())</f>
        <v/>
      </c>
      <c r="F128" s="20" t="str">
        <f aca="false">IF(E128="","",IF(E128&lt;0,"已過期",IF(E128&lt;=30,"30 天內到期",IF(E128&lt;=90,"90 天內到期","正常"))))</f>
        <v/>
      </c>
    </row>
    <row r="129" customFormat="false" ht="15" hidden="false" customHeight="false" outlineLevel="0" collapsed="false">
      <c r="A129" s="14"/>
      <c r="B129" s="24"/>
      <c r="C129" s="25"/>
      <c r="D129" s="18"/>
      <c r="E129" s="19" t="str">
        <f aca="true">IF(C129="","",C129-TODAY())</f>
        <v/>
      </c>
      <c r="F129" s="20" t="str">
        <f aca="false">IF(E129="","",IF(E129&lt;0,"已過期",IF(E129&lt;=30,"30 天內到期",IF(E129&lt;=90,"90 天內到期","正常"))))</f>
        <v/>
      </c>
    </row>
    <row r="130" customFormat="false" ht="15" hidden="false" customHeight="false" outlineLevel="0" collapsed="false">
      <c r="A130" s="14"/>
      <c r="B130" s="24"/>
      <c r="C130" s="25"/>
      <c r="D130" s="18"/>
      <c r="E130" s="19" t="str">
        <f aca="true">IF(C130="","",C130-TODAY())</f>
        <v/>
      </c>
      <c r="F130" s="20" t="str">
        <f aca="false">IF(E130="","",IF(E130&lt;0,"已過期",IF(E130&lt;=30,"30 天內到期",IF(E130&lt;=90,"90 天內到期","正常"))))</f>
        <v/>
      </c>
    </row>
    <row r="131" customFormat="false" ht="15" hidden="false" customHeight="false" outlineLevel="0" collapsed="false">
      <c r="A131" s="14"/>
      <c r="B131" s="24"/>
      <c r="C131" s="25"/>
      <c r="D131" s="18"/>
      <c r="E131" s="19" t="str">
        <f aca="true">IF(C131="","",C131-TODAY())</f>
        <v/>
      </c>
      <c r="F131" s="20" t="str">
        <f aca="false">IF(E131="","",IF(E131&lt;0,"已過期",IF(E131&lt;=30,"30 天內到期",IF(E131&lt;=90,"90 天內到期","正常"))))</f>
        <v/>
      </c>
    </row>
    <row r="132" customFormat="false" ht="15" hidden="false" customHeight="false" outlineLevel="0" collapsed="false">
      <c r="A132" s="14"/>
      <c r="B132" s="24"/>
      <c r="C132" s="25"/>
      <c r="D132" s="18"/>
      <c r="E132" s="19" t="str">
        <f aca="true">IF(C132="","",C132-TODAY())</f>
        <v/>
      </c>
      <c r="F132" s="20" t="str">
        <f aca="false">IF(E132="","",IF(E132&lt;0,"已過期",IF(E132&lt;=30,"30 天內到期",IF(E132&lt;=90,"90 天內到期","正常"))))</f>
        <v/>
      </c>
    </row>
    <row r="133" customFormat="false" ht="15" hidden="false" customHeight="false" outlineLevel="0" collapsed="false">
      <c r="A133" s="14"/>
      <c r="B133" s="24"/>
      <c r="C133" s="25"/>
      <c r="D133" s="18"/>
      <c r="E133" s="19" t="str">
        <f aca="true">IF(C133="","",C133-TODAY())</f>
        <v/>
      </c>
      <c r="F133" s="20" t="str">
        <f aca="false">IF(E133="","",IF(E133&lt;0,"已過期",IF(E133&lt;=30,"30 天內到期",IF(E133&lt;=90,"90 天內到期","正常"))))</f>
        <v/>
      </c>
    </row>
    <row r="134" customFormat="false" ht="15" hidden="false" customHeight="false" outlineLevel="0" collapsed="false">
      <c r="A134" s="14"/>
      <c r="B134" s="24"/>
      <c r="C134" s="25"/>
      <c r="D134" s="18"/>
      <c r="E134" s="19" t="str">
        <f aca="true">IF(C134="","",C134-TODAY())</f>
        <v/>
      </c>
      <c r="F134" s="20" t="str">
        <f aca="false">IF(E134="","",IF(E134&lt;0,"已過期",IF(E134&lt;=30,"30 天內到期",IF(E134&lt;=90,"90 天內到期","正常"))))</f>
        <v/>
      </c>
    </row>
    <row r="135" customFormat="false" ht="15" hidden="false" customHeight="false" outlineLevel="0" collapsed="false">
      <c r="A135" s="14"/>
      <c r="B135" s="24"/>
      <c r="C135" s="25"/>
      <c r="D135" s="18"/>
      <c r="E135" s="19" t="str">
        <f aca="true">IF(C135="","",C135-TODAY())</f>
        <v/>
      </c>
      <c r="F135" s="20" t="str">
        <f aca="false">IF(E135="","",IF(E135&lt;0,"已過期",IF(E135&lt;=30,"30 天內到期",IF(E135&lt;=90,"90 天內到期","正常"))))</f>
        <v/>
      </c>
    </row>
    <row r="136" customFormat="false" ht="15" hidden="false" customHeight="false" outlineLevel="0" collapsed="false">
      <c r="A136" s="14"/>
      <c r="B136" s="24"/>
      <c r="C136" s="25"/>
      <c r="D136" s="18"/>
      <c r="E136" s="19" t="str">
        <f aca="true">IF(C136="","",C136-TODAY())</f>
        <v/>
      </c>
      <c r="F136" s="20" t="str">
        <f aca="false">IF(E136="","",IF(E136&lt;0,"已過期",IF(E136&lt;=30,"30 天內到期",IF(E136&lt;=90,"90 天內到期","正常"))))</f>
        <v/>
      </c>
    </row>
    <row r="137" customFormat="false" ht="15" hidden="false" customHeight="false" outlineLevel="0" collapsed="false">
      <c r="A137" s="14"/>
      <c r="B137" s="24"/>
      <c r="C137" s="25"/>
      <c r="D137" s="18"/>
      <c r="E137" s="19" t="str">
        <f aca="true">IF(C137="","",C137-TODAY())</f>
        <v/>
      </c>
      <c r="F137" s="20" t="str">
        <f aca="false">IF(E137="","",IF(E137&lt;0,"已過期",IF(E137&lt;=30,"30 天內到期",IF(E137&lt;=90,"90 天內到期","正常"))))</f>
        <v/>
      </c>
    </row>
    <row r="138" customFormat="false" ht="15" hidden="false" customHeight="false" outlineLevel="0" collapsed="false">
      <c r="A138" s="14"/>
      <c r="B138" s="24"/>
      <c r="C138" s="25"/>
      <c r="D138" s="18"/>
      <c r="E138" s="19" t="str">
        <f aca="true">IF(C138="","",C138-TODAY())</f>
        <v/>
      </c>
      <c r="F138" s="20" t="str">
        <f aca="false">IF(E138="","",IF(E138&lt;0,"已過期",IF(E138&lt;=30,"30 天內到期",IF(E138&lt;=90,"90 天內到期","正常"))))</f>
        <v/>
      </c>
    </row>
    <row r="139" customFormat="false" ht="15" hidden="false" customHeight="false" outlineLevel="0" collapsed="false">
      <c r="A139" s="14"/>
      <c r="B139" s="24"/>
      <c r="C139" s="25"/>
      <c r="D139" s="18"/>
      <c r="E139" s="19" t="str">
        <f aca="true">IF(C139="","",C139-TODAY())</f>
        <v/>
      </c>
      <c r="F139" s="20" t="str">
        <f aca="false">IF(E139="","",IF(E139&lt;0,"已過期",IF(E139&lt;=30,"30 天內到期",IF(E139&lt;=90,"90 天內到期","正常"))))</f>
        <v/>
      </c>
    </row>
    <row r="140" customFormat="false" ht="15" hidden="false" customHeight="false" outlineLevel="0" collapsed="false">
      <c r="A140" s="14"/>
      <c r="B140" s="24"/>
      <c r="C140" s="25"/>
      <c r="D140" s="18"/>
      <c r="E140" s="19" t="str">
        <f aca="true">IF(C140="","",C140-TODAY())</f>
        <v/>
      </c>
      <c r="F140" s="20" t="str">
        <f aca="false">IF(E140="","",IF(E140&lt;0,"已過期",IF(E140&lt;=30,"30 天內到期",IF(E140&lt;=90,"90 天內到期","正常"))))</f>
        <v/>
      </c>
    </row>
    <row r="141" customFormat="false" ht="15" hidden="false" customHeight="false" outlineLevel="0" collapsed="false">
      <c r="A141" s="14"/>
      <c r="B141" s="24"/>
      <c r="C141" s="25"/>
      <c r="D141" s="18"/>
      <c r="E141" s="19" t="str">
        <f aca="true">IF(C141="","",C141-TODAY())</f>
        <v/>
      </c>
      <c r="F141" s="20" t="str">
        <f aca="false">IF(E141="","",IF(E141&lt;0,"已過期",IF(E141&lt;=30,"30 天內到期",IF(E141&lt;=90,"90 天內到期","正常"))))</f>
        <v/>
      </c>
    </row>
    <row r="142" customFormat="false" ht="15" hidden="false" customHeight="false" outlineLevel="0" collapsed="false">
      <c r="A142" s="14"/>
      <c r="B142" s="24"/>
      <c r="C142" s="25"/>
      <c r="D142" s="18"/>
      <c r="E142" s="19" t="str">
        <f aca="true">IF(C142="","",C142-TODAY())</f>
        <v/>
      </c>
      <c r="F142" s="20" t="str">
        <f aca="false">IF(E142="","",IF(E142&lt;0,"已過期",IF(E142&lt;=30,"30 天內到期",IF(E142&lt;=90,"90 天內到期","正常"))))</f>
        <v/>
      </c>
    </row>
    <row r="143" customFormat="false" ht="15" hidden="false" customHeight="false" outlineLevel="0" collapsed="false">
      <c r="A143" s="14"/>
      <c r="B143" s="24"/>
      <c r="C143" s="25"/>
      <c r="D143" s="18"/>
      <c r="E143" s="19" t="str">
        <f aca="true">IF(C143="","",C143-TODAY())</f>
        <v/>
      </c>
      <c r="F143" s="20" t="str">
        <f aca="false">IF(E143="","",IF(E143&lt;0,"已過期",IF(E143&lt;=30,"30 天內到期",IF(E143&lt;=90,"90 天內到期","正常"))))</f>
        <v/>
      </c>
    </row>
    <row r="144" customFormat="false" ht="15" hidden="false" customHeight="false" outlineLevel="0" collapsed="false">
      <c r="A144" s="14"/>
      <c r="B144" s="24"/>
      <c r="C144" s="25"/>
      <c r="D144" s="18"/>
      <c r="E144" s="19" t="str">
        <f aca="true">IF(C144="","",C144-TODAY())</f>
        <v/>
      </c>
      <c r="F144" s="20" t="str">
        <f aca="false">IF(E144="","",IF(E144&lt;0,"已過期",IF(E144&lt;=30,"30 天內到期",IF(E144&lt;=90,"90 天內到期","正常"))))</f>
        <v/>
      </c>
    </row>
    <row r="145" customFormat="false" ht="15" hidden="false" customHeight="false" outlineLevel="0" collapsed="false">
      <c r="A145" s="14"/>
      <c r="B145" s="24"/>
      <c r="C145" s="25"/>
      <c r="D145" s="18"/>
      <c r="E145" s="19" t="str">
        <f aca="true">IF(C145="","",C145-TODAY())</f>
        <v/>
      </c>
      <c r="F145" s="20" t="str">
        <f aca="false">IF(E145="","",IF(E145&lt;0,"已過期",IF(E145&lt;=30,"30 天內到期",IF(E145&lt;=90,"90 天內到期","正常"))))</f>
        <v/>
      </c>
    </row>
    <row r="146" customFormat="false" ht="15" hidden="false" customHeight="false" outlineLevel="0" collapsed="false">
      <c r="A146" s="14"/>
      <c r="B146" s="24"/>
      <c r="C146" s="25"/>
      <c r="D146" s="18"/>
      <c r="E146" s="19" t="str">
        <f aca="true">IF(C146="","",C146-TODAY())</f>
        <v/>
      </c>
      <c r="F146" s="20" t="str">
        <f aca="false">IF(E146="","",IF(E146&lt;0,"已過期",IF(E146&lt;=30,"30 天內到期",IF(E146&lt;=90,"90 天內到期","正常"))))</f>
        <v/>
      </c>
    </row>
    <row r="147" customFormat="false" ht="15" hidden="false" customHeight="false" outlineLevel="0" collapsed="false">
      <c r="A147" s="14"/>
      <c r="B147" s="24"/>
      <c r="C147" s="25"/>
      <c r="D147" s="18"/>
      <c r="E147" s="19" t="str">
        <f aca="true">IF(C147="","",C147-TODAY())</f>
        <v/>
      </c>
      <c r="F147" s="20" t="str">
        <f aca="false">IF(E147="","",IF(E147&lt;0,"已過期",IF(E147&lt;=30,"30 天內到期",IF(E147&lt;=90,"90 天內到期","正常"))))</f>
        <v/>
      </c>
    </row>
    <row r="148" customFormat="false" ht="15" hidden="false" customHeight="false" outlineLevel="0" collapsed="false">
      <c r="A148" s="14"/>
      <c r="B148" s="24"/>
      <c r="C148" s="25"/>
      <c r="D148" s="18"/>
      <c r="E148" s="19" t="str">
        <f aca="true">IF(C148="","",C148-TODAY())</f>
        <v/>
      </c>
      <c r="F148" s="20" t="str">
        <f aca="false">IF(E148="","",IF(E148&lt;0,"已過期",IF(E148&lt;=30,"30 天內到期",IF(E148&lt;=90,"90 天內到期","正常"))))</f>
        <v/>
      </c>
    </row>
    <row r="149" customFormat="false" ht="15" hidden="false" customHeight="false" outlineLevel="0" collapsed="false">
      <c r="A149" s="14"/>
      <c r="B149" s="24"/>
      <c r="C149" s="25"/>
      <c r="D149" s="18"/>
      <c r="E149" s="19" t="str">
        <f aca="true">IF(C149="","",C149-TODAY())</f>
        <v/>
      </c>
      <c r="F149" s="20" t="str">
        <f aca="false">IF(E149="","",IF(E149&lt;0,"已過期",IF(E149&lt;=30,"30 天內到期",IF(E149&lt;=90,"90 天內到期","正常"))))</f>
        <v/>
      </c>
    </row>
    <row r="150" customFormat="false" ht="15" hidden="false" customHeight="false" outlineLevel="0" collapsed="false">
      <c r="A150" s="14"/>
      <c r="B150" s="24"/>
      <c r="C150" s="25"/>
      <c r="D150" s="18"/>
      <c r="E150" s="19" t="str">
        <f aca="true">IF(C150="","",C150-TODAY())</f>
        <v/>
      </c>
      <c r="F150" s="20" t="str">
        <f aca="false">IF(E150="","",IF(E150&lt;0,"已過期",IF(E150&lt;=30,"30 天內到期",IF(E150&lt;=90,"90 天內到期","正常"))))</f>
        <v/>
      </c>
    </row>
    <row r="151" customFormat="false" ht="15" hidden="false" customHeight="false" outlineLevel="0" collapsed="false">
      <c r="A151" s="14"/>
      <c r="B151" s="24"/>
      <c r="C151" s="25"/>
      <c r="D151" s="18"/>
      <c r="E151" s="19" t="str">
        <f aca="true">IF(C151="","",C151-TODAY())</f>
        <v/>
      </c>
      <c r="F151" s="20" t="str">
        <f aca="false">IF(E151="","",IF(E151&lt;0,"已過期",IF(E151&lt;=30,"30 天內到期",IF(E151&lt;=90,"90 天內到期","正常"))))</f>
        <v/>
      </c>
    </row>
    <row r="152" customFormat="false" ht="15" hidden="false" customHeight="false" outlineLevel="0" collapsed="false">
      <c r="A152" s="14"/>
      <c r="B152" s="24"/>
      <c r="C152" s="25"/>
      <c r="D152" s="18"/>
      <c r="E152" s="19" t="str">
        <f aca="true">IF(C152="","",C152-TODAY())</f>
        <v/>
      </c>
      <c r="F152" s="20" t="str">
        <f aca="false">IF(E152="","",IF(E152&lt;0,"已過期",IF(E152&lt;=30,"30 天內到期",IF(E152&lt;=90,"90 天內到期","正常"))))</f>
        <v/>
      </c>
    </row>
    <row r="153" customFormat="false" ht="15" hidden="false" customHeight="false" outlineLevel="0" collapsed="false">
      <c r="A153" s="14"/>
      <c r="B153" s="24"/>
      <c r="C153" s="25"/>
      <c r="D153" s="18"/>
      <c r="E153" s="19" t="str">
        <f aca="true">IF(C153="","",C153-TODAY())</f>
        <v/>
      </c>
      <c r="F153" s="20" t="str">
        <f aca="false">IF(E153="","",IF(E153&lt;0,"已過期",IF(E153&lt;=30,"30 天內到期",IF(E153&lt;=90,"90 天內到期","正常"))))</f>
        <v/>
      </c>
    </row>
    <row r="154" customFormat="false" ht="15" hidden="false" customHeight="false" outlineLevel="0" collapsed="false">
      <c r="A154" s="14"/>
      <c r="B154" s="24"/>
      <c r="C154" s="25"/>
      <c r="D154" s="18"/>
      <c r="E154" s="19" t="str">
        <f aca="true">IF(C154="","",C154-TODAY())</f>
        <v/>
      </c>
      <c r="F154" s="20" t="str">
        <f aca="false">IF(E154="","",IF(E154&lt;0,"已過期",IF(E154&lt;=30,"30 天內到期",IF(E154&lt;=90,"90 天內到期","正常"))))</f>
        <v/>
      </c>
    </row>
    <row r="155" customFormat="false" ht="15" hidden="false" customHeight="false" outlineLevel="0" collapsed="false">
      <c r="A155" s="14"/>
      <c r="B155" s="24"/>
      <c r="C155" s="25"/>
      <c r="D155" s="18"/>
      <c r="E155" s="19" t="str">
        <f aca="true">IF(C155="","",C155-TODAY())</f>
        <v/>
      </c>
      <c r="F155" s="20" t="str">
        <f aca="false">IF(E155="","",IF(E155&lt;0,"已過期",IF(E155&lt;=30,"30 天內到期",IF(E155&lt;=90,"90 天內到期","正常"))))</f>
        <v/>
      </c>
    </row>
    <row r="156" customFormat="false" ht="15" hidden="false" customHeight="false" outlineLevel="0" collapsed="false">
      <c r="A156" s="14"/>
      <c r="B156" s="24"/>
      <c r="C156" s="25"/>
      <c r="D156" s="18"/>
      <c r="E156" s="19" t="str">
        <f aca="true">IF(C156="","",C156-TODAY())</f>
        <v/>
      </c>
      <c r="F156" s="20" t="str">
        <f aca="false">IF(E156="","",IF(E156&lt;0,"已過期",IF(E156&lt;=30,"30 天內到期",IF(E156&lt;=90,"90 天內到期","正常"))))</f>
        <v/>
      </c>
    </row>
    <row r="157" customFormat="false" ht="15" hidden="false" customHeight="false" outlineLevel="0" collapsed="false">
      <c r="A157" s="14"/>
      <c r="B157" s="24"/>
      <c r="C157" s="25"/>
      <c r="D157" s="18"/>
      <c r="E157" s="19" t="str">
        <f aca="true">IF(C157="","",C157-TODAY())</f>
        <v/>
      </c>
      <c r="F157" s="20" t="str">
        <f aca="false">IF(E157="","",IF(E157&lt;0,"已過期",IF(E157&lt;=30,"30 天內到期",IF(E157&lt;=90,"90 天內到期","正常"))))</f>
        <v/>
      </c>
    </row>
    <row r="158" customFormat="false" ht="15" hidden="false" customHeight="false" outlineLevel="0" collapsed="false">
      <c r="A158" s="14"/>
      <c r="B158" s="24"/>
      <c r="C158" s="25"/>
      <c r="D158" s="18"/>
      <c r="E158" s="19" t="str">
        <f aca="true">IF(C158="","",C158-TODAY())</f>
        <v/>
      </c>
      <c r="F158" s="20" t="str">
        <f aca="false">IF(E158="","",IF(E158&lt;0,"已過期",IF(E158&lt;=30,"30 天內到期",IF(E158&lt;=90,"90 天內到期","正常"))))</f>
        <v/>
      </c>
    </row>
    <row r="159" customFormat="false" ht="15" hidden="false" customHeight="false" outlineLevel="0" collapsed="false">
      <c r="A159" s="14"/>
      <c r="B159" s="24"/>
      <c r="C159" s="25"/>
      <c r="D159" s="18"/>
      <c r="E159" s="19" t="str">
        <f aca="true">IF(C159="","",C159-TODAY())</f>
        <v/>
      </c>
      <c r="F159" s="20" t="str">
        <f aca="false">IF(E159="","",IF(E159&lt;0,"已過期",IF(E159&lt;=30,"30 天內到期",IF(E159&lt;=90,"90 天內到期","正常"))))</f>
        <v/>
      </c>
    </row>
    <row r="160" customFormat="false" ht="15" hidden="false" customHeight="false" outlineLevel="0" collapsed="false">
      <c r="A160" s="14"/>
      <c r="B160" s="24"/>
      <c r="C160" s="25"/>
      <c r="D160" s="18"/>
      <c r="E160" s="19" t="str">
        <f aca="true">IF(C160="","",C160-TODAY())</f>
        <v/>
      </c>
      <c r="F160" s="20" t="str">
        <f aca="false">IF(E160="","",IF(E160&lt;0,"已過期",IF(E160&lt;=30,"30 天內到期",IF(E160&lt;=90,"90 天內到期","正常"))))</f>
        <v/>
      </c>
    </row>
    <row r="161" customFormat="false" ht="15" hidden="false" customHeight="false" outlineLevel="0" collapsed="false">
      <c r="A161" s="14"/>
      <c r="B161" s="24"/>
      <c r="C161" s="25"/>
      <c r="D161" s="18"/>
      <c r="E161" s="19" t="str">
        <f aca="true">IF(C161="","",C161-TODAY())</f>
        <v/>
      </c>
      <c r="F161" s="20" t="str">
        <f aca="false">IF(E161="","",IF(E161&lt;0,"已過期",IF(E161&lt;=30,"30 天內到期",IF(E161&lt;=90,"90 天內到期","正常"))))</f>
        <v/>
      </c>
    </row>
    <row r="162" customFormat="false" ht="15" hidden="false" customHeight="false" outlineLevel="0" collapsed="false">
      <c r="A162" s="14"/>
      <c r="B162" s="24"/>
      <c r="C162" s="25"/>
      <c r="D162" s="18"/>
      <c r="E162" s="19" t="str">
        <f aca="true">IF(C162="","",C162-TODAY())</f>
        <v/>
      </c>
      <c r="F162" s="20" t="str">
        <f aca="false">IF(E162="","",IF(E162&lt;0,"已過期",IF(E162&lt;=30,"30 天內到期",IF(E162&lt;=90,"90 天內到期","正常"))))</f>
        <v/>
      </c>
    </row>
    <row r="163" customFormat="false" ht="15" hidden="false" customHeight="false" outlineLevel="0" collapsed="false">
      <c r="A163" s="14"/>
      <c r="B163" s="24"/>
      <c r="C163" s="25"/>
      <c r="D163" s="18"/>
      <c r="E163" s="19" t="str">
        <f aca="true">IF(C163="","",C163-TODAY())</f>
        <v/>
      </c>
      <c r="F163" s="20" t="str">
        <f aca="false">IF(E163="","",IF(E163&lt;0,"已過期",IF(E163&lt;=30,"30 天內到期",IF(E163&lt;=90,"90 天內到期","正常"))))</f>
        <v/>
      </c>
    </row>
    <row r="164" customFormat="false" ht="15" hidden="false" customHeight="false" outlineLevel="0" collapsed="false">
      <c r="A164" s="14"/>
      <c r="B164" s="24"/>
      <c r="C164" s="25"/>
      <c r="D164" s="18"/>
      <c r="E164" s="19" t="str">
        <f aca="true">IF(C164="","",C164-TODAY())</f>
        <v/>
      </c>
      <c r="F164" s="20" t="str">
        <f aca="false">IF(E164="","",IF(E164&lt;0,"已過期",IF(E164&lt;=30,"30 天內到期",IF(E164&lt;=90,"90 天內到期","正常"))))</f>
        <v/>
      </c>
    </row>
    <row r="165" customFormat="false" ht="15" hidden="false" customHeight="false" outlineLevel="0" collapsed="false">
      <c r="A165" s="14"/>
      <c r="B165" s="24"/>
      <c r="C165" s="25"/>
      <c r="D165" s="18"/>
      <c r="E165" s="19" t="str">
        <f aca="true">IF(C165="","",C165-TODAY())</f>
        <v/>
      </c>
      <c r="F165" s="20" t="str">
        <f aca="false">IF(E165="","",IF(E165&lt;0,"已過期",IF(E165&lt;=30,"30 天內到期",IF(E165&lt;=90,"90 天內到期","正常"))))</f>
        <v/>
      </c>
    </row>
    <row r="166" customFormat="false" ht="15" hidden="false" customHeight="false" outlineLevel="0" collapsed="false">
      <c r="A166" s="14"/>
      <c r="B166" s="24"/>
      <c r="C166" s="25"/>
      <c r="D166" s="18"/>
      <c r="E166" s="19" t="str">
        <f aca="true">IF(C166="","",C166-TODAY())</f>
        <v/>
      </c>
      <c r="F166" s="20" t="str">
        <f aca="false">IF(E166="","",IF(E166&lt;0,"已過期",IF(E166&lt;=30,"30 天內到期",IF(E166&lt;=90,"90 天內到期","正常"))))</f>
        <v/>
      </c>
    </row>
    <row r="167" customFormat="false" ht="15" hidden="false" customHeight="false" outlineLevel="0" collapsed="false">
      <c r="A167" s="14"/>
      <c r="B167" s="24"/>
      <c r="C167" s="25"/>
      <c r="D167" s="18"/>
      <c r="E167" s="19" t="str">
        <f aca="true">IF(C167="","",C167-TODAY())</f>
        <v/>
      </c>
      <c r="F167" s="20" t="str">
        <f aca="false">IF(E167="","",IF(E167&lt;0,"已過期",IF(E167&lt;=30,"30 天內到期",IF(E167&lt;=90,"90 天內到期","正常"))))</f>
        <v/>
      </c>
    </row>
    <row r="168" customFormat="false" ht="15" hidden="false" customHeight="false" outlineLevel="0" collapsed="false">
      <c r="A168" s="14"/>
      <c r="B168" s="24"/>
      <c r="C168" s="25"/>
      <c r="D168" s="18"/>
      <c r="E168" s="19" t="str">
        <f aca="true">IF(C168="","",C168-TODAY())</f>
        <v/>
      </c>
      <c r="F168" s="20" t="str">
        <f aca="false">IF(E168="","",IF(E168&lt;0,"已過期",IF(E168&lt;=30,"30 天內到期",IF(E168&lt;=90,"90 天內到期","正常"))))</f>
        <v/>
      </c>
    </row>
    <row r="169" customFormat="false" ht="15" hidden="false" customHeight="false" outlineLevel="0" collapsed="false">
      <c r="A169" s="14"/>
      <c r="B169" s="24"/>
      <c r="C169" s="25"/>
      <c r="D169" s="18"/>
      <c r="E169" s="19" t="str">
        <f aca="true">IF(C169="","",C169-TODAY())</f>
        <v/>
      </c>
      <c r="F169" s="20" t="str">
        <f aca="false">IF(E169="","",IF(E169&lt;0,"已過期",IF(E169&lt;=30,"30 天內到期",IF(E169&lt;=90,"90 天內到期","正常"))))</f>
        <v/>
      </c>
    </row>
    <row r="170" customFormat="false" ht="15" hidden="false" customHeight="false" outlineLevel="0" collapsed="false">
      <c r="A170" s="14"/>
      <c r="B170" s="24"/>
      <c r="C170" s="25"/>
      <c r="D170" s="18"/>
      <c r="E170" s="19" t="str">
        <f aca="true">IF(C170="","",C170-TODAY())</f>
        <v/>
      </c>
      <c r="F170" s="20" t="str">
        <f aca="false">IF(E170="","",IF(E170&lt;0,"已過期",IF(E170&lt;=30,"30 天內到期",IF(E170&lt;=90,"90 天內到期","正常"))))</f>
        <v/>
      </c>
    </row>
    <row r="171" customFormat="false" ht="15" hidden="false" customHeight="false" outlineLevel="0" collapsed="false">
      <c r="A171" s="14"/>
      <c r="B171" s="24"/>
      <c r="C171" s="25"/>
      <c r="D171" s="18"/>
      <c r="E171" s="19" t="str">
        <f aca="true">IF(C171="","",C171-TODAY())</f>
        <v/>
      </c>
      <c r="F171" s="20" t="str">
        <f aca="false">IF(E171="","",IF(E171&lt;0,"已過期",IF(E171&lt;=30,"30 天內到期",IF(E171&lt;=90,"90 天內到期","正常"))))</f>
        <v/>
      </c>
    </row>
    <row r="172" customFormat="false" ht="15" hidden="false" customHeight="false" outlineLevel="0" collapsed="false">
      <c r="A172" s="14"/>
      <c r="B172" s="24"/>
      <c r="C172" s="25"/>
      <c r="D172" s="18"/>
      <c r="E172" s="19" t="str">
        <f aca="true">IF(C172="","",C172-TODAY())</f>
        <v/>
      </c>
      <c r="F172" s="20" t="str">
        <f aca="false">IF(E172="","",IF(E172&lt;0,"已過期",IF(E172&lt;=30,"30 天內到期",IF(E172&lt;=90,"90 天內到期","正常"))))</f>
        <v/>
      </c>
    </row>
    <row r="173" customFormat="false" ht="15" hidden="false" customHeight="false" outlineLevel="0" collapsed="false">
      <c r="A173" s="14"/>
      <c r="B173" s="24"/>
      <c r="C173" s="25"/>
      <c r="D173" s="18"/>
      <c r="E173" s="19" t="str">
        <f aca="true">IF(C173="","",C173-TODAY())</f>
        <v/>
      </c>
      <c r="F173" s="20" t="str">
        <f aca="false">IF(E173="","",IF(E173&lt;0,"已過期",IF(E173&lt;=30,"30 天內到期",IF(E173&lt;=90,"90 天內到期","正常"))))</f>
        <v/>
      </c>
    </row>
    <row r="174" customFormat="false" ht="15" hidden="false" customHeight="false" outlineLevel="0" collapsed="false">
      <c r="A174" s="14"/>
      <c r="B174" s="24"/>
      <c r="C174" s="25"/>
      <c r="D174" s="18"/>
      <c r="E174" s="19" t="str">
        <f aca="true">IF(C174="","",C174-TODAY())</f>
        <v/>
      </c>
      <c r="F174" s="20" t="str">
        <f aca="false">IF(E174="","",IF(E174&lt;0,"已過期",IF(E174&lt;=30,"30 天內到期",IF(E174&lt;=90,"90 天內到期","正常"))))</f>
        <v/>
      </c>
    </row>
    <row r="175" customFormat="false" ht="15" hidden="false" customHeight="false" outlineLevel="0" collapsed="false">
      <c r="A175" s="14"/>
      <c r="B175" s="24"/>
      <c r="C175" s="25"/>
      <c r="D175" s="18"/>
      <c r="E175" s="19" t="str">
        <f aca="true">IF(C175="","",C175-TODAY())</f>
        <v/>
      </c>
      <c r="F175" s="20" t="str">
        <f aca="false">IF(E175="","",IF(E175&lt;0,"已過期",IF(E175&lt;=30,"30 天內到期",IF(E175&lt;=90,"90 天內到期","正常"))))</f>
        <v/>
      </c>
    </row>
    <row r="176" customFormat="false" ht="15" hidden="false" customHeight="false" outlineLevel="0" collapsed="false">
      <c r="A176" s="14"/>
      <c r="B176" s="24"/>
      <c r="C176" s="25"/>
      <c r="D176" s="18"/>
      <c r="E176" s="19" t="str">
        <f aca="true">IF(C176="","",C176-TODAY())</f>
        <v/>
      </c>
      <c r="F176" s="20" t="str">
        <f aca="false">IF(E176="","",IF(E176&lt;0,"已過期",IF(E176&lt;=30,"30 天內到期",IF(E176&lt;=90,"90 天內到期","正常"))))</f>
        <v/>
      </c>
    </row>
    <row r="177" customFormat="false" ht="15" hidden="false" customHeight="false" outlineLevel="0" collapsed="false">
      <c r="A177" s="14"/>
      <c r="B177" s="24"/>
      <c r="C177" s="25"/>
      <c r="D177" s="18"/>
      <c r="E177" s="19" t="str">
        <f aca="true">IF(C177="","",C177-TODAY())</f>
        <v/>
      </c>
      <c r="F177" s="20" t="str">
        <f aca="false">IF(E177="","",IF(E177&lt;0,"已過期",IF(E177&lt;=30,"30 天內到期",IF(E177&lt;=90,"90 天內到期","正常"))))</f>
        <v/>
      </c>
    </row>
    <row r="178" customFormat="false" ht="15" hidden="false" customHeight="false" outlineLevel="0" collapsed="false">
      <c r="A178" s="14"/>
      <c r="B178" s="24"/>
      <c r="C178" s="25"/>
      <c r="D178" s="18"/>
      <c r="E178" s="19" t="str">
        <f aca="true">IF(C178="","",C178-TODAY())</f>
        <v/>
      </c>
      <c r="F178" s="20" t="str">
        <f aca="false">IF(E178="","",IF(E178&lt;0,"已過期",IF(E178&lt;=30,"30 天內到期",IF(E178&lt;=90,"90 天內到期","正常"))))</f>
        <v/>
      </c>
    </row>
    <row r="179" customFormat="false" ht="15" hidden="false" customHeight="false" outlineLevel="0" collapsed="false">
      <c r="A179" s="14"/>
      <c r="B179" s="24"/>
      <c r="C179" s="25"/>
      <c r="D179" s="18"/>
      <c r="E179" s="19" t="str">
        <f aca="true">IF(C179="","",C179-TODAY())</f>
        <v/>
      </c>
      <c r="F179" s="20" t="str">
        <f aca="false">IF(E179="","",IF(E179&lt;0,"已過期",IF(E179&lt;=30,"30 天內到期",IF(E179&lt;=90,"90 天內到期","正常"))))</f>
        <v/>
      </c>
    </row>
    <row r="180" customFormat="false" ht="15" hidden="false" customHeight="false" outlineLevel="0" collapsed="false">
      <c r="A180" s="14"/>
      <c r="B180" s="24"/>
      <c r="C180" s="25"/>
      <c r="D180" s="18"/>
      <c r="E180" s="19" t="str">
        <f aca="true">IF(C180="","",C180-TODAY())</f>
        <v/>
      </c>
      <c r="F180" s="20" t="str">
        <f aca="false">IF(E180="","",IF(E180&lt;0,"已過期",IF(E180&lt;=30,"30 天內到期",IF(E180&lt;=90,"90 天內到期","正常"))))</f>
        <v/>
      </c>
    </row>
    <row r="181" customFormat="false" ht="15" hidden="false" customHeight="false" outlineLevel="0" collapsed="false">
      <c r="A181" s="14"/>
      <c r="B181" s="24"/>
      <c r="C181" s="25"/>
      <c r="D181" s="18"/>
      <c r="E181" s="19" t="str">
        <f aca="true">IF(C181="","",C181-TODAY())</f>
        <v/>
      </c>
      <c r="F181" s="20" t="str">
        <f aca="false">IF(E181="","",IF(E181&lt;0,"已過期",IF(E181&lt;=30,"30 天內到期",IF(E181&lt;=90,"90 天內到期","正常"))))</f>
        <v/>
      </c>
    </row>
    <row r="182" customFormat="false" ht="15" hidden="false" customHeight="false" outlineLevel="0" collapsed="false">
      <c r="A182" s="14"/>
      <c r="B182" s="24"/>
      <c r="C182" s="25"/>
      <c r="D182" s="18"/>
      <c r="E182" s="19" t="str">
        <f aca="true">IF(C182="","",C182-TODAY())</f>
        <v/>
      </c>
      <c r="F182" s="20" t="str">
        <f aca="false">IF(E182="","",IF(E182&lt;0,"已過期",IF(E182&lt;=30,"30 天內到期",IF(E182&lt;=90,"90 天內到期","正常"))))</f>
        <v/>
      </c>
    </row>
    <row r="183" customFormat="false" ht="15" hidden="false" customHeight="false" outlineLevel="0" collapsed="false">
      <c r="A183" s="14"/>
      <c r="B183" s="24"/>
      <c r="C183" s="25"/>
      <c r="D183" s="18"/>
      <c r="E183" s="19" t="str">
        <f aca="true">IF(C183="","",C183-TODAY())</f>
        <v/>
      </c>
      <c r="F183" s="20" t="str">
        <f aca="false">IF(E183="","",IF(E183&lt;0,"已過期",IF(E183&lt;=30,"30 天內到期",IF(E183&lt;=90,"90 天內到期","正常"))))</f>
        <v/>
      </c>
    </row>
    <row r="184" customFormat="false" ht="15" hidden="false" customHeight="false" outlineLevel="0" collapsed="false">
      <c r="A184" s="14"/>
      <c r="B184" s="24"/>
      <c r="C184" s="25"/>
      <c r="D184" s="18"/>
      <c r="E184" s="19" t="str">
        <f aca="true">IF(C184="","",C184-TODAY())</f>
        <v/>
      </c>
      <c r="F184" s="20" t="str">
        <f aca="false">IF(E184="","",IF(E184&lt;0,"已過期",IF(E184&lt;=30,"30 天內到期",IF(E184&lt;=90,"90 天內到期","正常"))))</f>
        <v/>
      </c>
    </row>
    <row r="185" customFormat="false" ht="15" hidden="false" customHeight="false" outlineLevel="0" collapsed="false">
      <c r="A185" s="14"/>
      <c r="B185" s="24"/>
      <c r="C185" s="25"/>
      <c r="D185" s="18"/>
      <c r="E185" s="19" t="str">
        <f aca="true">IF(C185="","",C185-TODAY())</f>
        <v/>
      </c>
      <c r="F185" s="20" t="str">
        <f aca="false">IF(E185="","",IF(E185&lt;0,"已過期",IF(E185&lt;=30,"30 天內到期",IF(E185&lt;=90,"90 天內到期","正常"))))</f>
        <v/>
      </c>
    </row>
    <row r="186" customFormat="false" ht="15" hidden="false" customHeight="false" outlineLevel="0" collapsed="false">
      <c r="A186" s="14"/>
      <c r="B186" s="24"/>
      <c r="C186" s="25"/>
      <c r="D186" s="18"/>
      <c r="E186" s="19" t="str">
        <f aca="true">IF(C186="","",C186-TODAY())</f>
        <v/>
      </c>
      <c r="F186" s="20" t="str">
        <f aca="false">IF(E186="","",IF(E186&lt;0,"已過期",IF(E186&lt;=30,"30 天內到期",IF(E186&lt;=90,"90 天內到期","正常"))))</f>
        <v/>
      </c>
    </row>
    <row r="187" customFormat="false" ht="15" hidden="false" customHeight="false" outlineLevel="0" collapsed="false">
      <c r="A187" s="14"/>
      <c r="B187" s="24"/>
      <c r="C187" s="25"/>
      <c r="D187" s="18"/>
      <c r="E187" s="19" t="str">
        <f aca="true">IF(C187="","",C187-TODAY())</f>
        <v/>
      </c>
      <c r="F187" s="20" t="str">
        <f aca="false">IF(E187="","",IF(E187&lt;0,"已過期",IF(E187&lt;=30,"30 天內到期",IF(E187&lt;=90,"90 天內到期","正常"))))</f>
        <v/>
      </c>
    </row>
    <row r="188" customFormat="false" ht="15" hidden="false" customHeight="false" outlineLevel="0" collapsed="false">
      <c r="A188" s="14"/>
      <c r="B188" s="24"/>
      <c r="C188" s="25"/>
      <c r="D188" s="18"/>
      <c r="E188" s="19" t="str">
        <f aca="true">IF(C188="","",C188-TODAY())</f>
        <v/>
      </c>
      <c r="F188" s="20" t="str">
        <f aca="false">IF(E188="","",IF(E188&lt;0,"已過期",IF(E188&lt;=30,"30 天內到期",IF(E188&lt;=90,"90 天內到期","正常"))))</f>
        <v/>
      </c>
    </row>
    <row r="189" customFormat="false" ht="15" hidden="false" customHeight="false" outlineLevel="0" collapsed="false">
      <c r="A189" s="14"/>
      <c r="B189" s="24"/>
      <c r="C189" s="25"/>
      <c r="D189" s="18"/>
      <c r="E189" s="19" t="str">
        <f aca="true">IF(C189="","",C189-TODAY())</f>
        <v/>
      </c>
      <c r="F189" s="20" t="str">
        <f aca="false">IF(E189="","",IF(E189&lt;0,"已過期",IF(E189&lt;=30,"30 天內到期",IF(E189&lt;=90,"90 天內到期","正常"))))</f>
        <v/>
      </c>
    </row>
    <row r="190" customFormat="false" ht="15" hidden="false" customHeight="false" outlineLevel="0" collapsed="false">
      <c r="A190" s="14"/>
      <c r="B190" s="24"/>
      <c r="C190" s="25"/>
      <c r="D190" s="18"/>
      <c r="E190" s="19" t="str">
        <f aca="true">IF(C190="","",C190-TODAY())</f>
        <v/>
      </c>
      <c r="F190" s="20" t="str">
        <f aca="false">IF(E190="","",IF(E190&lt;0,"已過期",IF(E190&lt;=30,"30 天內到期",IF(E190&lt;=90,"90 天內到期","正常"))))</f>
        <v/>
      </c>
    </row>
    <row r="191" customFormat="false" ht="15" hidden="false" customHeight="false" outlineLevel="0" collapsed="false">
      <c r="A191" s="14"/>
      <c r="B191" s="24"/>
      <c r="C191" s="25"/>
      <c r="D191" s="18"/>
      <c r="E191" s="19" t="str">
        <f aca="true">IF(C191="","",C191-TODAY())</f>
        <v/>
      </c>
      <c r="F191" s="20" t="str">
        <f aca="false">IF(E191="","",IF(E191&lt;0,"已過期",IF(E191&lt;=30,"30 天內到期",IF(E191&lt;=90,"90 天內到期","正常"))))</f>
        <v/>
      </c>
    </row>
    <row r="192" customFormat="false" ht="15" hidden="false" customHeight="false" outlineLevel="0" collapsed="false">
      <c r="A192" s="14"/>
      <c r="B192" s="24"/>
      <c r="C192" s="25"/>
      <c r="D192" s="18"/>
      <c r="E192" s="19" t="str">
        <f aca="true">IF(C192="","",C192-TODAY())</f>
        <v/>
      </c>
      <c r="F192" s="20" t="str">
        <f aca="false">IF(E192="","",IF(E192&lt;0,"已過期",IF(E192&lt;=30,"30 天內到期",IF(E192&lt;=90,"90 天內到期","正常"))))</f>
        <v/>
      </c>
    </row>
    <row r="193" customFormat="false" ht="15" hidden="false" customHeight="false" outlineLevel="0" collapsed="false">
      <c r="A193" s="14"/>
      <c r="B193" s="24"/>
      <c r="C193" s="25"/>
      <c r="D193" s="18"/>
      <c r="E193" s="19" t="str">
        <f aca="true">IF(C193="","",C193-TODAY())</f>
        <v/>
      </c>
      <c r="F193" s="20" t="str">
        <f aca="false">IF(E193="","",IF(E193&lt;0,"已過期",IF(E193&lt;=30,"30 天內到期",IF(E193&lt;=90,"90 天內到期","正常"))))</f>
        <v/>
      </c>
    </row>
    <row r="194" customFormat="false" ht="15" hidden="false" customHeight="false" outlineLevel="0" collapsed="false">
      <c r="A194" s="14"/>
      <c r="B194" s="24"/>
      <c r="C194" s="25"/>
      <c r="D194" s="18"/>
      <c r="E194" s="19" t="str">
        <f aca="true">IF(C194="","",C194-TODAY())</f>
        <v/>
      </c>
      <c r="F194" s="20" t="str">
        <f aca="false">IF(E194="","",IF(E194&lt;0,"已過期",IF(E194&lt;=30,"30 天內到期",IF(E194&lt;=90,"90 天內到期","正常"))))</f>
        <v/>
      </c>
    </row>
    <row r="195" customFormat="false" ht="15" hidden="false" customHeight="false" outlineLevel="0" collapsed="false">
      <c r="A195" s="14"/>
      <c r="B195" s="24"/>
      <c r="C195" s="25"/>
      <c r="D195" s="18"/>
      <c r="E195" s="19" t="str">
        <f aca="true">IF(C195="","",C195-TODAY())</f>
        <v/>
      </c>
      <c r="F195" s="20" t="str">
        <f aca="false">IF(E195="","",IF(E195&lt;0,"已過期",IF(E195&lt;=30,"30 天內到期",IF(E195&lt;=90,"90 天內到期","正常"))))</f>
        <v/>
      </c>
    </row>
    <row r="196" customFormat="false" ht="15" hidden="false" customHeight="false" outlineLevel="0" collapsed="false">
      <c r="A196" s="14"/>
      <c r="B196" s="24"/>
      <c r="C196" s="25"/>
      <c r="D196" s="18"/>
      <c r="E196" s="19" t="str">
        <f aca="true">IF(C196="","",C196-TODAY())</f>
        <v/>
      </c>
      <c r="F196" s="20" t="str">
        <f aca="false">IF(E196="","",IF(E196&lt;0,"已過期",IF(E196&lt;=30,"30 天內到期",IF(E196&lt;=90,"90 天內到期","正常"))))</f>
        <v/>
      </c>
    </row>
    <row r="197" customFormat="false" ht="15" hidden="false" customHeight="false" outlineLevel="0" collapsed="false">
      <c r="A197" s="14"/>
      <c r="B197" s="24"/>
      <c r="C197" s="25"/>
      <c r="D197" s="18"/>
      <c r="E197" s="19" t="str">
        <f aca="true">IF(C197="","",C197-TODAY())</f>
        <v/>
      </c>
      <c r="F197" s="20" t="str">
        <f aca="false">IF(E197="","",IF(E197&lt;0,"已過期",IF(E197&lt;=30,"30 天內到期",IF(E197&lt;=90,"90 天內到期","正常"))))</f>
        <v/>
      </c>
    </row>
    <row r="198" customFormat="false" ht="15" hidden="false" customHeight="false" outlineLevel="0" collapsed="false">
      <c r="A198" s="14"/>
      <c r="B198" s="24"/>
      <c r="C198" s="25"/>
      <c r="D198" s="18"/>
      <c r="E198" s="19" t="str">
        <f aca="true">IF(C198="","",C198-TODAY())</f>
        <v/>
      </c>
      <c r="F198" s="20" t="str">
        <f aca="false">IF(E198="","",IF(E198&lt;0,"已過期",IF(E198&lt;=30,"30 天內到期",IF(E198&lt;=90,"90 天內到期","正常"))))</f>
        <v/>
      </c>
    </row>
    <row r="199" customFormat="false" ht="15" hidden="false" customHeight="false" outlineLevel="0" collapsed="false">
      <c r="A199" s="14"/>
      <c r="B199" s="24"/>
      <c r="C199" s="25"/>
      <c r="D199" s="18"/>
      <c r="E199" s="19" t="str">
        <f aca="true">IF(C199="","",C199-TODAY())</f>
        <v/>
      </c>
      <c r="F199" s="20" t="str">
        <f aca="false">IF(E199="","",IF(E199&lt;0,"已過期",IF(E199&lt;=30,"30 天內到期",IF(E199&lt;=90,"90 天內到期","正常"))))</f>
        <v/>
      </c>
    </row>
    <row r="200" customFormat="false" ht="15" hidden="false" customHeight="false" outlineLevel="0" collapsed="false">
      <c r="A200" s="14"/>
      <c r="B200" s="24"/>
      <c r="C200" s="25"/>
      <c r="D200" s="18"/>
      <c r="E200" s="19" t="str">
        <f aca="true">IF(C200="","",C200-TODAY())</f>
        <v/>
      </c>
      <c r="F200" s="20" t="str">
        <f aca="false">IF(E200="","",IF(E200&lt;0,"已過期",IF(E200&lt;=30,"30 天內到期",IF(E200&lt;=90,"90 天內到期","正常"))))</f>
        <v/>
      </c>
    </row>
    <row r="201" customFormat="false" ht="15" hidden="false" customHeight="false" outlineLevel="0" collapsed="false">
      <c r="A201" s="14"/>
      <c r="B201" s="24"/>
      <c r="C201" s="25"/>
      <c r="D201" s="18"/>
      <c r="E201" s="19" t="str">
        <f aca="true">IF(C201="","",C201-TODAY())</f>
        <v/>
      </c>
      <c r="F201" s="20" t="str">
        <f aca="false">IF(E201="","",IF(E201&lt;0,"已過期",IF(E201&lt;=30,"30 天內到期",IF(E201&lt;=90,"90 天內到期","正常"))))</f>
        <v/>
      </c>
    </row>
    <row r="202" customFormat="false" ht="15" hidden="false" customHeight="false" outlineLevel="0" collapsed="false">
      <c r="A202" s="14"/>
      <c r="B202" s="24"/>
      <c r="C202" s="25"/>
      <c r="D202" s="18"/>
      <c r="E202" s="19" t="str">
        <f aca="true">IF(C202="","",C202-TODAY())</f>
        <v/>
      </c>
      <c r="F202" s="20" t="str">
        <f aca="false">IF(E202="","",IF(E202&lt;0,"已過期",IF(E202&lt;=30,"30 天內到期",IF(E202&lt;=90,"90 天內到期","正常"))))</f>
        <v/>
      </c>
    </row>
    <row r="203" customFormat="false" ht="15" hidden="false" customHeight="false" outlineLevel="0" collapsed="false">
      <c r="A203" s="14"/>
      <c r="B203" s="24"/>
      <c r="C203" s="25"/>
      <c r="D203" s="18"/>
      <c r="E203" s="19" t="str">
        <f aca="true">IF(C203="","",C203-TODAY())</f>
        <v/>
      </c>
      <c r="F203" s="20" t="str">
        <f aca="false">IF(E203="","",IF(E203&lt;0,"已過期",IF(E203&lt;=30,"30 天內到期",IF(E203&lt;=90,"90 天內到期","正常"))))</f>
        <v/>
      </c>
    </row>
    <row r="204" customFormat="false" ht="15" hidden="false" customHeight="false" outlineLevel="0" collapsed="false">
      <c r="A204" s="14"/>
      <c r="B204" s="24"/>
      <c r="C204" s="25"/>
      <c r="D204" s="18"/>
      <c r="E204" s="19" t="str">
        <f aca="true">IF(C204="","",C204-TODAY())</f>
        <v/>
      </c>
      <c r="F204" s="20" t="str">
        <f aca="false">IF(E204="","",IF(E204&lt;0,"已過期",IF(E204&lt;=30,"30 天內到期",IF(E204&lt;=90,"90 天內到期","正常"))))</f>
        <v/>
      </c>
    </row>
  </sheetData>
  <mergeCells count="2">
    <mergeCell ref="A1:F1"/>
    <mergeCell ref="A2:F2"/>
  </mergeCells>
  <conditionalFormatting sqref="F5:F204">
    <cfRule type="cellIs" priority="2" operator="equal" aboveAverage="0" equalAverage="0" bottom="0" percent="0" rank="0" text="" dxfId="0">
      <formula>"已過期"</formula>
    </cfRule>
    <cfRule type="cellIs" priority="3" operator="equal" aboveAverage="0" equalAverage="0" bottom="0" percent="0" rank="0" text="" dxfId="2">
      <formula>"30 天內到期"</formula>
    </cfRule>
    <cfRule type="cellIs" priority="4" operator="equal" aboveAverage="0" equalAverage="0" bottom="0" percent="0" rank="0" text="" dxfId="3">
      <formula>"90 天內到期"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5" min="3" style="0" width="1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10" t="s">
        <v>55</v>
      </c>
      <c r="B1" s="10"/>
      <c r="C1" s="10"/>
      <c r="D1" s="10"/>
      <c r="E1" s="10"/>
      <c r="F1" s="10"/>
      <c r="G1" s="10"/>
      <c r="H1" s="10"/>
    </row>
    <row r="2" customFormat="false" ht="30" hidden="false" customHeight="true" outlineLevel="0" collapsed="false">
      <c r="A2" s="11" t="s">
        <v>56</v>
      </c>
      <c r="B2" s="11"/>
      <c r="C2" s="11"/>
      <c r="D2" s="11"/>
      <c r="E2" s="11"/>
      <c r="F2" s="11"/>
      <c r="G2" s="11"/>
      <c r="H2" s="11"/>
    </row>
    <row r="4" customFormat="false" ht="33.75" hidden="false" customHeight="true" outlineLevel="0" collapsed="false">
      <c r="A4" s="12" t="s">
        <v>57</v>
      </c>
      <c r="B4" s="12" t="s">
        <v>17</v>
      </c>
      <c r="C4" s="12" t="s">
        <v>19</v>
      </c>
      <c r="D4" s="12" t="s">
        <v>58</v>
      </c>
      <c r="E4" s="12" t="s">
        <v>59</v>
      </c>
      <c r="F4" s="12" t="s">
        <v>60</v>
      </c>
      <c r="G4" s="12" t="s">
        <v>61</v>
      </c>
      <c r="H4" s="12" t="s">
        <v>62</v>
      </c>
    </row>
    <row r="5" customFormat="false" ht="15" hidden="false" customHeight="false" outlineLevel="0" collapsed="false">
      <c r="A5" s="25" t="n">
        <v>46298</v>
      </c>
      <c r="B5" s="14" t="s">
        <v>37</v>
      </c>
      <c r="C5" s="20" t="str">
        <f aca="false">IF(B5="","",IFERROR(INDEX(品項與安全庫存!$C$5:$C$104,MATCH(B5,品項與安全庫存!$A$5:$A$104,0)),""))</f>
        <v>B2 櫃</v>
      </c>
      <c r="D5" s="19" t="n">
        <f aca="false">IF(B5="","",IFERROR(INDEX(品項與安全庫存!$J$5:$J$104,MATCH(B5,品項與安全庫存!$A$5:$A$104,0)),""))</f>
        <v>6</v>
      </c>
      <c r="E5" s="18" t="n">
        <v>5</v>
      </c>
      <c r="F5" s="26" t="n">
        <f aca="false">IF(OR(E5="",D5=""),"",E5-D5)</f>
        <v>-1</v>
      </c>
      <c r="G5" s="27" t="s">
        <v>63</v>
      </c>
      <c r="H5" s="27" t="s">
        <v>64</v>
      </c>
    </row>
    <row r="6" customFormat="false" ht="15" hidden="false" customHeight="false" outlineLevel="0" collapsed="false">
      <c r="A6" s="25"/>
      <c r="B6" s="14"/>
      <c r="C6" s="20" t="str">
        <f aca="false">IF(B6="","",IFERROR(INDEX(品項與安全庫存!$C$5:$C$104,MATCH(B6,品項與安全庫存!$A$5:$A$104,0)),""))</f>
        <v/>
      </c>
      <c r="D6" s="19" t="str">
        <f aca="false">IF(B6="","",IFERROR(INDEX(品項與安全庫存!$J$5:$J$104,MATCH(B6,品項與安全庫存!$A$5:$A$104,0)),""))</f>
        <v/>
      </c>
      <c r="E6" s="18"/>
      <c r="F6" s="26" t="str">
        <f aca="false">IF(OR(E6="",D6=""),"",E6-D6)</f>
        <v/>
      </c>
      <c r="G6" s="27"/>
      <c r="H6" s="27"/>
    </row>
    <row r="7" customFormat="false" ht="15" hidden="false" customHeight="false" outlineLevel="0" collapsed="false">
      <c r="A7" s="25"/>
      <c r="B7" s="14"/>
      <c r="C7" s="20" t="str">
        <f aca="false">IF(B7="","",IFERROR(INDEX(品項與安全庫存!$C$5:$C$104,MATCH(B7,品項與安全庫存!$A$5:$A$104,0)),""))</f>
        <v/>
      </c>
      <c r="D7" s="19" t="str">
        <f aca="false">IF(B7="","",IFERROR(INDEX(品項與安全庫存!$J$5:$J$104,MATCH(B7,品項與安全庫存!$A$5:$A$104,0)),""))</f>
        <v/>
      </c>
      <c r="E7" s="18"/>
      <c r="F7" s="26" t="str">
        <f aca="false">IF(OR(E7="",D7=""),"",E7-D7)</f>
        <v/>
      </c>
      <c r="G7" s="27"/>
      <c r="H7" s="27"/>
    </row>
    <row r="8" customFormat="false" ht="15" hidden="false" customHeight="false" outlineLevel="0" collapsed="false">
      <c r="A8" s="25"/>
      <c r="B8" s="14"/>
      <c r="C8" s="20" t="str">
        <f aca="false">IF(B8="","",IFERROR(INDEX(品項與安全庫存!$C$5:$C$104,MATCH(B8,品項與安全庫存!$A$5:$A$104,0)),""))</f>
        <v/>
      </c>
      <c r="D8" s="19" t="str">
        <f aca="false">IF(B8="","",IFERROR(INDEX(品項與安全庫存!$J$5:$J$104,MATCH(B8,品項與安全庫存!$A$5:$A$104,0)),""))</f>
        <v/>
      </c>
      <c r="E8" s="18"/>
      <c r="F8" s="26" t="str">
        <f aca="false">IF(OR(E8="",D8=""),"",E8-D8)</f>
        <v/>
      </c>
      <c r="G8" s="27"/>
      <c r="H8" s="27"/>
    </row>
    <row r="9" customFormat="false" ht="15" hidden="false" customHeight="false" outlineLevel="0" collapsed="false">
      <c r="A9" s="25"/>
      <c r="B9" s="14"/>
      <c r="C9" s="20" t="str">
        <f aca="false">IF(B9="","",IFERROR(INDEX(品項與安全庫存!$C$5:$C$104,MATCH(B9,品項與安全庫存!$A$5:$A$104,0)),""))</f>
        <v/>
      </c>
      <c r="D9" s="19" t="str">
        <f aca="false">IF(B9="","",IFERROR(INDEX(品項與安全庫存!$J$5:$J$104,MATCH(B9,品項與安全庫存!$A$5:$A$104,0)),""))</f>
        <v/>
      </c>
      <c r="E9" s="18"/>
      <c r="F9" s="26" t="str">
        <f aca="false">IF(OR(E9="",D9=""),"",E9-D9)</f>
        <v/>
      </c>
      <c r="G9" s="27"/>
      <c r="H9" s="27"/>
    </row>
    <row r="10" customFormat="false" ht="15" hidden="false" customHeight="false" outlineLevel="0" collapsed="false">
      <c r="A10" s="25"/>
      <c r="B10" s="14"/>
      <c r="C10" s="20" t="str">
        <f aca="false">IF(B10="","",IFERROR(INDEX(品項與安全庫存!$C$5:$C$104,MATCH(B10,品項與安全庫存!$A$5:$A$104,0)),""))</f>
        <v/>
      </c>
      <c r="D10" s="19" t="str">
        <f aca="false">IF(B10="","",IFERROR(INDEX(品項與安全庫存!$J$5:$J$104,MATCH(B10,品項與安全庫存!$A$5:$A$104,0)),""))</f>
        <v/>
      </c>
      <c r="E10" s="18"/>
      <c r="F10" s="26" t="str">
        <f aca="false">IF(OR(E10="",D10=""),"",E10-D10)</f>
        <v/>
      </c>
      <c r="G10" s="27"/>
      <c r="H10" s="27"/>
    </row>
    <row r="11" customFormat="false" ht="15" hidden="false" customHeight="false" outlineLevel="0" collapsed="false">
      <c r="A11" s="25"/>
      <c r="B11" s="14"/>
      <c r="C11" s="20" t="str">
        <f aca="false">IF(B11="","",IFERROR(INDEX(品項與安全庫存!$C$5:$C$104,MATCH(B11,品項與安全庫存!$A$5:$A$104,0)),""))</f>
        <v/>
      </c>
      <c r="D11" s="19" t="str">
        <f aca="false">IF(B11="","",IFERROR(INDEX(品項與安全庫存!$J$5:$J$104,MATCH(B11,品項與安全庫存!$A$5:$A$104,0)),""))</f>
        <v/>
      </c>
      <c r="E11" s="18"/>
      <c r="F11" s="26" t="str">
        <f aca="false">IF(OR(E11="",D11=""),"",E11-D11)</f>
        <v/>
      </c>
      <c r="G11" s="27"/>
      <c r="H11" s="27"/>
    </row>
    <row r="12" customFormat="false" ht="15" hidden="false" customHeight="false" outlineLevel="0" collapsed="false">
      <c r="A12" s="25"/>
      <c r="B12" s="14"/>
      <c r="C12" s="20" t="str">
        <f aca="false">IF(B12="","",IFERROR(INDEX(品項與安全庫存!$C$5:$C$104,MATCH(B12,品項與安全庫存!$A$5:$A$104,0)),""))</f>
        <v/>
      </c>
      <c r="D12" s="19" t="str">
        <f aca="false">IF(B12="","",IFERROR(INDEX(品項與安全庫存!$J$5:$J$104,MATCH(B12,品項與安全庫存!$A$5:$A$104,0)),""))</f>
        <v/>
      </c>
      <c r="E12" s="18"/>
      <c r="F12" s="26" t="str">
        <f aca="false">IF(OR(E12="",D12=""),"",E12-D12)</f>
        <v/>
      </c>
      <c r="G12" s="27"/>
      <c r="H12" s="27"/>
    </row>
    <row r="13" customFormat="false" ht="15" hidden="false" customHeight="false" outlineLevel="0" collapsed="false">
      <c r="A13" s="25"/>
      <c r="B13" s="14"/>
      <c r="C13" s="20" t="str">
        <f aca="false">IF(B13="","",IFERROR(INDEX(品項與安全庫存!$C$5:$C$104,MATCH(B13,品項與安全庫存!$A$5:$A$104,0)),""))</f>
        <v/>
      </c>
      <c r="D13" s="19" t="str">
        <f aca="false">IF(B13="","",IFERROR(INDEX(品項與安全庫存!$J$5:$J$104,MATCH(B13,品項與安全庫存!$A$5:$A$104,0)),""))</f>
        <v/>
      </c>
      <c r="E13" s="18"/>
      <c r="F13" s="26" t="str">
        <f aca="false">IF(OR(E13="",D13=""),"",E13-D13)</f>
        <v/>
      </c>
      <c r="G13" s="27"/>
      <c r="H13" s="27"/>
    </row>
    <row r="14" customFormat="false" ht="15" hidden="false" customHeight="false" outlineLevel="0" collapsed="false">
      <c r="A14" s="25"/>
      <c r="B14" s="14"/>
      <c r="C14" s="20" t="str">
        <f aca="false">IF(B14="","",IFERROR(INDEX(品項與安全庫存!$C$5:$C$104,MATCH(B14,品項與安全庫存!$A$5:$A$104,0)),""))</f>
        <v/>
      </c>
      <c r="D14" s="19" t="str">
        <f aca="false">IF(B14="","",IFERROR(INDEX(品項與安全庫存!$J$5:$J$104,MATCH(B14,品項與安全庫存!$A$5:$A$104,0)),""))</f>
        <v/>
      </c>
      <c r="E14" s="18"/>
      <c r="F14" s="26" t="str">
        <f aca="false">IF(OR(E14="",D14=""),"",E14-D14)</f>
        <v/>
      </c>
      <c r="G14" s="27"/>
      <c r="H14" s="27"/>
    </row>
    <row r="15" customFormat="false" ht="15" hidden="false" customHeight="false" outlineLevel="0" collapsed="false">
      <c r="A15" s="25"/>
      <c r="B15" s="14"/>
      <c r="C15" s="20" t="str">
        <f aca="false">IF(B15="","",IFERROR(INDEX(品項與安全庫存!$C$5:$C$104,MATCH(B15,品項與安全庫存!$A$5:$A$104,0)),""))</f>
        <v/>
      </c>
      <c r="D15" s="19" t="str">
        <f aca="false">IF(B15="","",IFERROR(INDEX(品項與安全庫存!$J$5:$J$104,MATCH(B15,品項與安全庫存!$A$5:$A$104,0)),""))</f>
        <v/>
      </c>
      <c r="E15" s="18"/>
      <c r="F15" s="26" t="str">
        <f aca="false">IF(OR(E15="",D15=""),"",E15-D15)</f>
        <v/>
      </c>
      <c r="G15" s="27"/>
      <c r="H15" s="27"/>
    </row>
    <row r="16" customFormat="false" ht="15" hidden="false" customHeight="false" outlineLevel="0" collapsed="false">
      <c r="A16" s="25"/>
      <c r="B16" s="14"/>
      <c r="C16" s="20" t="str">
        <f aca="false">IF(B16="","",IFERROR(INDEX(品項與安全庫存!$C$5:$C$104,MATCH(B16,品項與安全庫存!$A$5:$A$104,0)),""))</f>
        <v/>
      </c>
      <c r="D16" s="19" t="str">
        <f aca="false">IF(B16="","",IFERROR(INDEX(品項與安全庫存!$J$5:$J$104,MATCH(B16,品項與安全庫存!$A$5:$A$104,0)),""))</f>
        <v/>
      </c>
      <c r="E16" s="18"/>
      <c r="F16" s="26" t="str">
        <f aca="false">IF(OR(E16="",D16=""),"",E16-D16)</f>
        <v/>
      </c>
      <c r="G16" s="27"/>
      <c r="H16" s="27"/>
    </row>
    <row r="17" customFormat="false" ht="15" hidden="false" customHeight="false" outlineLevel="0" collapsed="false">
      <c r="A17" s="25"/>
      <c r="B17" s="14"/>
      <c r="C17" s="20" t="str">
        <f aca="false">IF(B17="","",IFERROR(INDEX(品項與安全庫存!$C$5:$C$104,MATCH(B17,品項與安全庫存!$A$5:$A$104,0)),""))</f>
        <v/>
      </c>
      <c r="D17" s="19" t="str">
        <f aca="false">IF(B17="","",IFERROR(INDEX(品項與安全庫存!$J$5:$J$104,MATCH(B17,品項與安全庫存!$A$5:$A$104,0)),""))</f>
        <v/>
      </c>
      <c r="E17" s="18"/>
      <c r="F17" s="26" t="str">
        <f aca="false">IF(OR(E17="",D17=""),"",E17-D17)</f>
        <v/>
      </c>
      <c r="G17" s="27"/>
      <c r="H17" s="27"/>
    </row>
    <row r="18" customFormat="false" ht="15" hidden="false" customHeight="false" outlineLevel="0" collapsed="false">
      <c r="A18" s="25"/>
      <c r="B18" s="14"/>
      <c r="C18" s="20" t="str">
        <f aca="false">IF(B18="","",IFERROR(INDEX(品項與安全庫存!$C$5:$C$104,MATCH(B18,品項與安全庫存!$A$5:$A$104,0)),""))</f>
        <v/>
      </c>
      <c r="D18" s="19" t="str">
        <f aca="false">IF(B18="","",IFERROR(INDEX(品項與安全庫存!$J$5:$J$104,MATCH(B18,品項與安全庫存!$A$5:$A$104,0)),""))</f>
        <v/>
      </c>
      <c r="E18" s="18"/>
      <c r="F18" s="26" t="str">
        <f aca="false">IF(OR(E18="",D18=""),"",E18-D18)</f>
        <v/>
      </c>
      <c r="G18" s="27"/>
      <c r="H18" s="27"/>
    </row>
    <row r="19" customFormat="false" ht="15" hidden="false" customHeight="false" outlineLevel="0" collapsed="false">
      <c r="A19" s="25"/>
      <c r="B19" s="14"/>
      <c r="C19" s="20" t="str">
        <f aca="false">IF(B19="","",IFERROR(INDEX(品項與安全庫存!$C$5:$C$104,MATCH(B19,品項與安全庫存!$A$5:$A$104,0)),""))</f>
        <v/>
      </c>
      <c r="D19" s="19" t="str">
        <f aca="false">IF(B19="","",IFERROR(INDEX(品項與安全庫存!$J$5:$J$104,MATCH(B19,品項與安全庫存!$A$5:$A$104,0)),""))</f>
        <v/>
      </c>
      <c r="E19" s="18"/>
      <c r="F19" s="26" t="str">
        <f aca="false">IF(OR(E19="",D19=""),"",E19-D19)</f>
        <v/>
      </c>
      <c r="G19" s="27"/>
      <c r="H19" s="27"/>
    </row>
    <row r="20" customFormat="false" ht="15" hidden="false" customHeight="false" outlineLevel="0" collapsed="false">
      <c r="A20" s="25"/>
      <c r="B20" s="14"/>
      <c r="C20" s="20" t="str">
        <f aca="false">IF(B20="","",IFERROR(INDEX(品項與安全庫存!$C$5:$C$104,MATCH(B20,品項與安全庫存!$A$5:$A$104,0)),""))</f>
        <v/>
      </c>
      <c r="D20" s="19" t="str">
        <f aca="false">IF(B20="","",IFERROR(INDEX(品項與安全庫存!$J$5:$J$104,MATCH(B20,品項與安全庫存!$A$5:$A$104,0)),""))</f>
        <v/>
      </c>
      <c r="E20" s="18"/>
      <c r="F20" s="26" t="str">
        <f aca="false">IF(OR(E20="",D20=""),"",E20-D20)</f>
        <v/>
      </c>
      <c r="G20" s="27"/>
      <c r="H20" s="27"/>
    </row>
    <row r="21" customFormat="false" ht="15" hidden="false" customHeight="false" outlineLevel="0" collapsed="false">
      <c r="A21" s="25"/>
      <c r="B21" s="14"/>
      <c r="C21" s="20" t="str">
        <f aca="false">IF(B21="","",IFERROR(INDEX(品項與安全庫存!$C$5:$C$104,MATCH(B21,品項與安全庫存!$A$5:$A$104,0)),""))</f>
        <v/>
      </c>
      <c r="D21" s="19" t="str">
        <f aca="false">IF(B21="","",IFERROR(INDEX(品項與安全庫存!$J$5:$J$104,MATCH(B21,品項與安全庫存!$A$5:$A$104,0)),""))</f>
        <v/>
      </c>
      <c r="E21" s="18"/>
      <c r="F21" s="26" t="str">
        <f aca="false">IF(OR(E21="",D21=""),"",E21-D21)</f>
        <v/>
      </c>
      <c r="G21" s="27"/>
      <c r="H21" s="27"/>
    </row>
    <row r="22" customFormat="false" ht="15" hidden="false" customHeight="false" outlineLevel="0" collapsed="false">
      <c r="A22" s="25"/>
      <c r="B22" s="14"/>
      <c r="C22" s="20" t="str">
        <f aca="false">IF(B22="","",IFERROR(INDEX(品項與安全庫存!$C$5:$C$104,MATCH(B22,品項與安全庫存!$A$5:$A$104,0)),""))</f>
        <v/>
      </c>
      <c r="D22" s="19" t="str">
        <f aca="false">IF(B22="","",IFERROR(INDEX(品項與安全庫存!$J$5:$J$104,MATCH(B22,品項與安全庫存!$A$5:$A$104,0)),""))</f>
        <v/>
      </c>
      <c r="E22" s="18"/>
      <c r="F22" s="26" t="str">
        <f aca="false">IF(OR(E22="",D22=""),"",E22-D22)</f>
        <v/>
      </c>
      <c r="G22" s="27"/>
      <c r="H22" s="27"/>
    </row>
    <row r="23" customFormat="false" ht="15" hidden="false" customHeight="false" outlineLevel="0" collapsed="false">
      <c r="A23" s="25"/>
      <c r="B23" s="14"/>
      <c r="C23" s="20" t="str">
        <f aca="false">IF(B23="","",IFERROR(INDEX(品項與安全庫存!$C$5:$C$104,MATCH(B23,品項與安全庫存!$A$5:$A$104,0)),""))</f>
        <v/>
      </c>
      <c r="D23" s="19" t="str">
        <f aca="false">IF(B23="","",IFERROR(INDEX(品項與安全庫存!$J$5:$J$104,MATCH(B23,品項與安全庫存!$A$5:$A$104,0)),""))</f>
        <v/>
      </c>
      <c r="E23" s="18"/>
      <c r="F23" s="26" t="str">
        <f aca="false">IF(OR(E23="",D23=""),"",E23-D23)</f>
        <v/>
      </c>
      <c r="G23" s="27"/>
      <c r="H23" s="27"/>
    </row>
    <row r="24" customFormat="false" ht="15" hidden="false" customHeight="false" outlineLevel="0" collapsed="false">
      <c r="A24" s="25"/>
      <c r="B24" s="14"/>
      <c r="C24" s="20" t="str">
        <f aca="false">IF(B24="","",IFERROR(INDEX(品項與安全庫存!$C$5:$C$104,MATCH(B24,品項與安全庫存!$A$5:$A$104,0)),""))</f>
        <v/>
      </c>
      <c r="D24" s="19" t="str">
        <f aca="false">IF(B24="","",IFERROR(INDEX(品項與安全庫存!$J$5:$J$104,MATCH(B24,品項與安全庫存!$A$5:$A$104,0)),""))</f>
        <v/>
      </c>
      <c r="E24" s="18"/>
      <c r="F24" s="26" t="str">
        <f aca="false">IF(OR(E24="",D24=""),"",E24-D24)</f>
        <v/>
      </c>
      <c r="G24" s="27"/>
      <c r="H24" s="27"/>
    </row>
    <row r="25" customFormat="false" ht="15" hidden="false" customHeight="false" outlineLevel="0" collapsed="false">
      <c r="A25" s="25"/>
      <c r="B25" s="14"/>
      <c r="C25" s="20" t="str">
        <f aca="false">IF(B25="","",IFERROR(INDEX(品項與安全庫存!$C$5:$C$104,MATCH(B25,品項與安全庫存!$A$5:$A$104,0)),""))</f>
        <v/>
      </c>
      <c r="D25" s="19" t="str">
        <f aca="false">IF(B25="","",IFERROR(INDEX(品項與安全庫存!$J$5:$J$104,MATCH(B25,品項與安全庫存!$A$5:$A$104,0)),""))</f>
        <v/>
      </c>
      <c r="E25" s="18"/>
      <c r="F25" s="26" t="str">
        <f aca="false">IF(OR(E25="",D25=""),"",E25-D25)</f>
        <v/>
      </c>
      <c r="G25" s="27"/>
      <c r="H25" s="27"/>
    </row>
    <row r="26" customFormat="false" ht="15" hidden="false" customHeight="false" outlineLevel="0" collapsed="false">
      <c r="A26" s="25"/>
      <c r="B26" s="14"/>
      <c r="C26" s="20" t="str">
        <f aca="false">IF(B26="","",IFERROR(INDEX(品項與安全庫存!$C$5:$C$104,MATCH(B26,品項與安全庫存!$A$5:$A$104,0)),""))</f>
        <v/>
      </c>
      <c r="D26" s="19" t="str">
        <f aca="false">IF(B26="","",IFERROR(INDEX(品項與安全庫存!$J$5:$J$104,MATCH(B26,品項與安全庫存!$A$5:$A$104,0)),""))</f>
        <v/>
      </c>
      <c r="E26" s="18"/>
      <c r="F26" s="26" t="str">
        <f aca="false">IF(OR(E26="",D26=""),"",E26-D26)</f>
        <v/>
      </c>
      <c r="G26" s="27"/>
      <c r="H26" s="27"/>
    </row>
    <row r="27" customFormat="false" ht="15" hidden="false" customHeight="false" outlineLevel="0" collapsed="false">
      <c r="A27" s="25"/>
      <c r="B27" s="14"/>
      <c r="C27" s="20" t="str">
        <f aca="false">IF(B27="","",IFERROR(INDEX(品項與安全庫存!$C$5:$C$104,MATCH(B27,品項與安全庫存!$A$5:$A$104,0)),""))</f>
        <v/>
      </c>
      <c r="D27" s="19" t="str">
        <f aca="false">IF(B27="","",IFERROR(INDEX(品項與安全庫存!$J$5:$J$104,MATCH(B27,品項與安全庫存!$A$5:$A$104,0)),""))</f>
        <v/>
      </c>
      <c r="E27" s="18"/>
      <c r="F27" s="26" t="str">
        <f aca="false">IF(OR(E27="",D27=""),"",E27-D27)</f>
        <v/>
      </c>
      <c r="G27" s="27"/>
      <c r="H27" s="27"/>
    </row>
    <row r="28" customFormat="false" ht="15" hidden="false" customHeight="false" outlineLevel="0" collapsed="false">
      <c r="A28" s="25"/>
      <c r="B28" s="14"/>
      <c r="C28" s="20" t="str">
        <f aca="false">IF(B28="","",IFERROR(INDEX(品項與安全庫存!$C$5:$C$104,MATCH(B28,品項與安全庫存!$A$5:$A$104,0)),""))</f>
        <v/>
      </c>
      <c r="D28" s="19" t="str">
        <f aca="false">IF(B28="","",IFERROR(INDEX(品項與安全庫存!$J$5:$J$104,MATCH(B28,品項與安全庫存!$A$5:$A$104,0)),""))</f>
        <v/>
      </c>
      <c r="E28" s="18"/>
      <c r="F28" s="26" t="str">
        <f aca="false">IF(OR(E28="",D28=""),"",E28-D28)</f>
        <v/>
      </c>
      <c r="G28" s="27"/>
      <c r="H28" s="27"/>
    </row>
    <row r="29" customFormat="false" ht="15" hidden="false" customHeight="false" outlineLevel="0" collapsed="false">
      <c r="A29" s="25"/>
      <c r="B29" s="14"/>
      <c r="C29" s="20" t="str">
        <f aca="false">IF(B29="","",IFERROR(INDEX(品項與安全庫存!$C$5:$C$104,MATCH(B29,品項與安全庫存!$A$5:$A$104,0)),""))</f>
        <v/>
      </c>
      <c r="D29" s="19" t="str">
        <f aca="false">IF(B29="","",IFERROR(INDEX(品項與安全庫存!$J$5:$J$104,MATCH(B29,品項與安全庫存!$A$5:$A$104,0)),""))</f>
        <v/>
      </c>
      <c r="E29" s="18"/>
      <c r="F29" s="26" t="str">
        <f aca="false">IF(OR(E29="",D29=""),"",E29-D29)</f>
        <v/>
      </c>
      <c r="G29" s="27"/>
      <c r="H29" s="27"/>
    </row>
    <row r="30" customFormat="false" ht="15" hidden="false" customHeight="false" outlineLevel="0" collapsed="false">
      <c r="A30" s="25"/>
      <c r="B30" s="14"/>
      <c r="C30" s="20" t="str">
        <f aca="false">IF(B30="","",IFERROR(INDEX(品項與安全庫存!$C$5:$C$104,MATCH(B30,品項與安全庫存!$A$5:$A$104,0)),""))</f>
        <v/>
      </c>
      <c r="D30" s="19" t="str">
        <f aca="false">IF(B30="","",IFERROR(INDEX(品項與安全庫存!$J$5:$J$104,MATCH(B30,品項與安全庫存!$A$5:$A$104,0)),""))</f>
        <v/>
      </c>
      <c r="E30" s="18"/>
      <c r="F30" s="26" t="str">
        <f aca="false">IF(OR(E30="",D30=""),"",E30-D30)</f>
        <v/>
      </c>
      <c r="G30" s="27"/>
      <c r="H30" s="27"/>
    </row>
    <row r="31" customFormat="false" ht="15" hidden="false" customHeight="false" outlineLevel="0" collapsed="false">
      <c r="A31" s="25"/>
      <c r="B31" s="14"/>
      <c r="C31" s="20" t="str">
        <f aca="false">IF(B31="","",IFERROR(INDEX(品項與安全庫存!$C$5:$C$104,MATCH(B31,品項與安全庫存!$A$5:$A$104,0)),""))</f>
        <v/>
      </c>
      <c r="D31" s="19" t="str">
        <f aca="false">IF(B31="","",IFERROR(INDEX(品項與安全庫存!$J$5:$J$104,MATCH(B31,品項與安全庫存!$A$5:$A$104,0)),""))</f>
        <v/>
      </c>
      <c r="E31" s="18"/>
      <c r="F31" s="26" t="str">
        <f aca="false">IF(OR(E31="",D31=""),"",E31-D31)</f>
        <v/>
      </c>
      <c r="G31" s="27"/>
      <c r="H31" s="27"/>
    </row>
    <row r="32" customFormat="false" ht="15" hidden="false" customHeight="false" outlineLevel="0" collapsed="false">
      <c r="A32" s="25"/>
      <c r="B32" s="14"/>
      <c r="C32" s="20" t="str">
        <f aca="false">IF(B32="","",IFERROR(INDEX(品項與安全庫存!$C$5:$C$104,MATCH(B32,品項與安全庫存!$A$5:$A$104,0)),""))</f>
        <v/>
      </c>
      <c r="D32" s="19" t="str">
        <f aca="false">IF(B32="","",IFERROR(INDEX(品項與安全庫存!$J$5:$J$104,MATCH(B32,品項與安全庫存!$A$5:$A$104,0)),""))</f>
        <v/>
      </c>
      <c r="E32" s="18"/>
      <c r="F32" s="26" t="str">
        <f aca="false">IF(OR(E32="",D32=""),"",E32-D32)</f>
        <v/>
      </c>
      <c r="G32" s="27"/>
      <c r="H32" s="27"/>
    </row>
    <row r="33" customFormat="false" ht="15" hidden="false" customHeight="false" outlineLevel="0" collapsed="false">
      <c r="A33" s="25"/>
      <c r="B33" s="14"/>
      <c r="C33" s="20" t="str">
        <f aca="false">IF(B33="","",IFERROR(INDEX(品項與安全庫存!$C$5:$C$104,MATCH(B33,品項與安全庫存!$A$5:$A$104,0)),""))</f>
        <v/>
      </c>
      <c r="D33" s="19" t="str">
        <f aca="false">IF(B33="","",IFERROR(INDEX(品項與安全庫存!$J$5:$J$104,MATCH(B33,品項與安全庫存!$A$5:$A$104,0)),""))</f>
        <v/>
      </c>
      <c r="E33" s="18"/>
      <c r="F33" s="26" t="str">
        <f aca="false">IF(OR(E33="",D33=""),"",E33-D33)</f>
        <v/>
      </c>
      <c r="G33" s="27"/>
      <c r="H33" s="27"/>
    </row>
    <row r="34" customFormat="false" ht="15" hidden="false" customHeight="false" outlineLevel="0" collapsed="false">
      <c r="A34" s="25"/>
      <c r="B34" s="14"/>
      <c r="C34" s="20" t="str">
        <f aca="false">IF(B34="","",IFERROR(INDEX(品項與安全庫存!$C$5:$C$104,MATCH(B34,品項與安全庫存!$A$5:$A$104,0)),""))</f>
        <v/>
      </c>
      <c r="D34" s="19" t="str">
        <f aca="false">IF(B34="","",IFERROR(INDEX(品項與安全庫存!$J$5:$J$104,MATCH(B34,品項與安全庫存!$A$5:$A$104,0)),""))</f>
        <v/>
      </c>
      <c r="E34" s="18"/>
      <c r="F34" s="26" t="str">
        <f aca="false">IF(OR(E34="",D34=""),"",E34-D34)</f>
        <v/>
      </c>
      <c r="G34" s="27"/>
      <c r="H34" s="27"/>
    </row>
    <row r="35" customFormat="false" ht="15" hidden="false" customHeight="false" outlineLevel="0" collapsed="false">
      <c r="A35" s="25"/>
      <c r="B35" s="14"/>
      <c r="C35" s="20" t="str">
        <f aca="false">IF(B35="","",IFERROR(INDEX(品項與安全庫存!$C$5:$C$104,MATCH(B35,品項與安全庫存!$A$5:$A$104,0)),""))</f>
        <v/>
      </c>
      <c r="D35" s="19" t="str">
        <f aca="false">IF(B35="","",IFERROR(INDEX(品項與安全庫存!$J$5:$J$104,MATCH(B35,品項與安全庫存!$A$5:$A$104,0)),""))</f>
        <v/>
      </c>
      <c r="E35" s="18"/>
      <c r="F35" s="26" t="str">
        <f aca="false">IF(OR(E35="",D35=""),"",E35-D35)</f>
        <v/>
      </c>
      <c r="G35" s="27"/>
      <c r="H35" s="27"/>
    </row>
    <row r="36" customFormat="false" ht="15" hidden="false" customHeight="false" outlineLevel="0" collapsed="false">
      <c r="A36" s="25"/>
      <c r="B36" s="14"/>
      <c r="C36" s="20" t="str">
        <f aca="false">IF(B36="","",IFERROR(INDEX(品項與安全庫存!$C$5:$C$104,MATCH(B36,品項與安全庫存!$A$5:$A$104,0)),""))</f>
        <v/>
      </c>
      <c r="D36" s="19" t="str">
        <f aca="false">IF(B36="","",IFERROR(INDEX(品項與安全庫存!$J$5:$J$104,MATCH(B36,品項與安全庫存!$A$5:$A$104,0)),""))</f>
        <v/>
      </c>
      <c r="E36" s="18"/>
      <c r="F36" s="26" t="str">
        <f aca="false">IF(OR(E36="",D36=""),"",E36-D36)</f>
        <v/>
      </c>
      <c r="G36" s="27"/>
      <c r="H36" s="27"/>
    </row>
    <row r="37" customFormat="false" ht="15" hidden="false" customHeight="false" outlineLevel="0" collapsed="false">
      <c r="A37" s="25"/>
      <c r="B37" s="14"/>
      <c r="C37" s="20" t="str">
        <f aca="false">IF(B37="","",IFERROR(INDEX(品項與安全庫存!$C$5:$C$104,MATCH(B37,品項與安全庫存!$A$5:$A$104,0)),""))</f>
        <v/>
      </c>
      <c r="D37" s="19" t="str">
        <f aca="false">IF(B37="","",IFERROR(INDEX(品項與安全庫存!$J$5:$J$104,MATCH(B37,品項與安全庫存!$A$5:$A$104,0)),""))</f>
        <v/>
      </c>
      <c r="E37" s="18"/>
      <c r="F37" s="26" t="str">
        <f aca="false">IF(OR(E37="",D37=""),"",E37-D37)</f>
        <v/>
      </c>
      <c r="G37" s="27"/>
      <c r="H37" s="27"/>
    </row>
    <row r="38" customFormat="false" ht="15" hidden="false" customHeight="false" outlineLevel="0" collapsed="false">
      <c r="A38" s="25"/>
      <c r="B38" s="14"/>
      <c r="C38" s="20" t="str">
        <f aca="false">IF(B38="","",IFERROR(INDEX(品項與安全庫存!$C$5:$C$104,MATCH(B38,品項與安全庫存!$A$5:$A$104,0)),""))</f>
        <v/>
      </c>
      <c r="D38" s="19" t="str">
        <f aca="false">IF(B38="","",IFERROR(INDEX(品項與安全庫存!$J$5:$J$104,MATCH(B38,品項與安全庫存!$A$5:$A$104,0)),""))</f>
        <v/>
      </c>
      <c r="E38" s="18"/>
      <c r="F38" s="26" t="str">
        <f aca="false">IF(OR(E38="",D38=""),"",E38-D38)</f>
        <v/>
      </c>
      <c r="G38" s="27"/>
      <c r="H38" s="27"/>
    </row>
    <row r="39" customFormat="false" ht="15" hidden="false" customHeight="false" outlineLevel="0" collapsed="false">
      <c r="A39" s="25"/>
      <c r="B39" s="14"/>
      <c r="C39" s="20" t="str">
        <f aca="false">IF(B39="","",IFERROR(INDEX(品項與安全庫存!$C$5:$C$104,MATCH(B39,品項與安全庫存!$A$5:$A$104,0)),""))</f>
        <v/>
      </c>
      <c r="D39" s="19" t="str">
        <f aca="false">IF(B39="","",IFERROR(INDEX(品項與安全庫存!$J$5:$J$104,MATCH(B39,品項與安全庫存!$A$5:$A$104,0)),""))</f>
        <v/>
      </c>
      <c r="E39" s="18"/>
      <c r="F39" s="26" t="str">
        <f aca="false">IF(OR(E39="",D39=""),"",E39-D39)</f>
        <v/>
      </c>
      <c r="G39" s="27"/>
      <c r="H39" s="27"/>
    </row>
    <row r="40" customFormat="false" ht="15" hidden="false" customHeight="false" outlineLevel="0" collapsed="false">
      <c r="A40" s="25"/>
      <c r="B40" s="14"/>
      <c r="C40" s="20" t="str">
        <f aca="false">IF(B40="","",IFERROR(INDEX(品項與安全庫存!$C$5:$C$104,MATCH(B40,品項與安全庫存!$A$5:$A$104,0)),""))</f>
        <v/>
      </c>
      <c r="D40" s="19" t="str">
        <f aca="false">IF(B40="","",IFERROR(INDEX(品項與安全庫存!$J$5:$J$104,MATCH(B40,品項與安全庫存!$A$5:$A$104,0)),""))</f>
        <v/>
      </c>
      <c r="E40" s="18"/>
      <c r="F40" s="26" t="str">
        <f aca="false">IF(OR(E40="",D40=""),"",E40-D40)</f>
        <v/>
      </c>
      <c r="G40" s="27"/>
      <c r="H40" s="27"/>
    </row>
    <row r="41" customFormat="false" ht="15" hidden="false" customHeight="false" outlineLevel="0" collapsed="false">
      <c r="A41" s="25"/>
      <c r="B41" s="14"/>
      <c r="C41" s="20" t="str">
        <f aca="false">IF(B41="","",IFERROR(INDEX(品項與安全庫存!$C$5:$C$104,MATCH(B41,品項與安全庫存!$A$5:$A$104,0)),""))</f>
        <v/>
      </c>
      <c r="D41" s="19" t="str">
        <f aca="false">IF(B41="","",IFERROR(INDEX(品項與安全庫存!$J$5:$J$104,MATCH(B41,品項與安全庫存!$A$5:$A$104,0)),""))</f>
        <v/>
      </c>
      <c r="E41" s="18"/>
      <c r="F41" s="26" t="str">
        <f aca="false">IF(OR(E41="",D41=""),"",E41-D41)</f>
        <v/>
      </c>
      <c r="G41" s="27"/>
      <c r="H41" s="27"/>
    </row>
    <row r="42" customFormat="false" ht="15" hidden="false" customHeight="false" outlineLevel="0" collapsed="false">
      <c r="A42" s="25"/>
      <c r="B42" s="14"/>
      <c r="C42" s="20" t="str">
        <f aca="false">IF(B42="","",IFERROR(INDEX(品項與安全庫存!$C$5:$C$104,MATCH(B42,品項與安全庫存!$A$5:$A$104,0)),""))</f>
        <v/>
      </c>
      <c r="D42" s="19" t="str">
        <f aca="false">IF(B42="","",IFERROR(INDEX(品項與安全庫存!$J$5:$J$104,MATCH(B42,品項與安全庫存!$A$5:$A$104,0)),""))</f>
        <v/>
      </c>
      <c r="E42" s="18"/>
      <c r="F42" s="26" t="str">
        <f aca="false">IF(OR(E42="",D42=""),"",E42-D42)</f>
        <v/>
      </c>
      <c r="G42" s="27"/>
      <c r="H42" s="27"/>
    </row>
    <row r="43" customFormat="false" ht="15" hidden="false" customHeight="false" outlineLevel="0" collapsed="false">
      <c r="A43" s="25"/>
      <c r="B43" s="14"/>
      <c r="C43" s="20" t="str">
        <f aca="false">IF(B43="","",IFERROR(INDEX(品項與安全庫存!$C$5:$C$104,MATCH(B43,品項與安全庫存!$A$5:$A$104,0)),""))</f>
        <v/>
      </c>
      <c r="D43" s="19" t="str">
        <f aca="false">IF(B43="","",IFERROR(INDEX(品項與安全庫存!$J$5:$J$104,MATCH(B43,品項與安全庫存!$A$5:$A$104,0)),""))</f>
        <v/>
      </c>
      <c r="E43" s="18"/>
      <c r="F43" s="26" t="str">
        <f aca="false">IF(OR(E43="",D43=""),"",E43-D43)</f>
        <v/>
      </c>
      <c r="G43" s="27"/>
      <c r="H43" s="27"/>
    </row>
    <row r="44" customFormat="false" ht="15" hidden="false" customHeight="false" outlineLevel="0" collapsed="false">
      <c r="A44" s="25"/>
      <c r="B44" s="14"/>
      <c r="C44" s="20" t="str">
        <f aca="false">IF(B44="","",IFERROR(INDEX(品項與安全庫存!$C$5:$C$104,MATCH(B44,品項與安全庫存!$A$5:$A$104,0)),""))</f>
        <v/>
      </c>
      <c r="D44" s="19" t="str">
        <f aca="false">IF(B44="","",IFERROR(INDEX(品項與安全庫存!$J$5:$J$104,MATCH(B44,品項與安全庫存!$A$5:$A$104,0)),""))</f>
        <v/>
      </c>
      <c r="E44" s="18"/>
      <c r="F44" s="26" t="str">
        <f aca="false">IF(OR(E44="",D44=""),"",E44-D44)</f>
        <v/>
      </c>
      <c r="G44" s="27"/>
      <c r="H44" s="27"/>
    </row>
    <row r="45" customFormat="false" ht="15" hidden="false" customHeight="false" outlineLevel="0" collapsed="false">
      <c r="A45" s="25"/>
      <c r="B45" s="14"/>
      <c r="C45" s="20" t="str">
        <f aca="false">IF(B45="","",IFERROR(INDEX(品項與安全庫存!$C$5:$C$104,MATCH(B45,品項與安全庫存!$A$5:$A$104,0)),""))</f>
        <v/>
      </c>
      <c r="D45" s="19" t="str">
        <f aca="false">IF(B45="","",IFERROR(INDEX(品項與安全庫存!$J$5:$J$104,MATCH(B45,品項與安全庫存!$A$5:$A$104,0)),""))</f>
        <v/>
      </c>
      <c r="E45" s="18"/>
      <c r="F45" s="26" t="str">
        <f aca="false">IF(OR(E45="",D45=""),"",E45-D45)</f>
        <v/>
      </c>
      <c r="G45" s="27"/>
      <c r="H45" s="27"/>
    </row>
    <row r="46" customFormat="false" ht="15" hidden="false" customHeight="false" outlineLevel="0" collapsed="false">
      <c r="A46" s="25"/>
      <c r="B46" s="14"/>
      <c r="C46" s="20" t="str">
        <f aca="false">IF(B46="","",IFERROR(INDEX(品項與安全庫存!$C$5:$C$104,MATCH(B46,品項與安全庫存!$A$5:$A$104,0)),""))</f>
        <v/>
      </c>
      <c r="D46" s="19" t="str">
        <f aca="false">IF(B46="","",IFERROR(INDEX(品項與安全庫存!$J$5:$J$104,MATCH(B46,品項與安全庫存!$A$5:$A$104,0)),""))</f>
        <v/>
      </c>
      <c r="E46" s="18"/>
      <c r="F46" s="26" t="str">
        <f aca="false">IF(OR(E46="",D46=""),"",E46-D46)</f>
        <v/>
      </c>
      <c r="G46" s="27"/>
      <c r="H46" s="27"/>
    </row>
    <row r="47" customFormat="false" ht="15" hidden="false" customHeight="false" outlineLevel="0" collapsed="false">
      <c r="A47" s="25"/>
      <c r="B47" s="14"/>
      <c r="C47" s="20" t="str">
        <f aca="false">IF(B47="","",IFERROR(INDEX(品項與安全庫存!$C$5:$C$104,MATCH(B47,品項與安全庫存!$A$5:$A$104,0)),""))</f>
        <v/>
      </c>
      <c r="D47" s="19" t="str">
        <f aca="false">IF(B47="","",IFERROR(INDEX(品項與安全庫存!$J$5:$J$104,MATCH(B47,品項與安全庫存!$A$5:$A$104,0)),""))</f>
        <v/>
      </c>
      <c r="E47" s="18"/>
      <c r="F47" s="26" t="str">
        <f aca="false">IF(OR(E47="",D47=""),"",E47-D47)</f>
        <v/>
      </c>
      <c r="G47" s="27"/>
      <c r="H47" s="27"/>
    </row>
    <row r="48" customFormat="false" ht="15" hidden="false" customHeight="false" outlineLevel="0" collapsed="false">
      <c r="A48" s="25"/>
      <c r="B48" s="14"/>
      <c r="C48" s="20" t="str">
        <f aca="false">IF(B48="","",IFERROR(INDEX(品項與安全庫存!$C$5:$C$104,MATCH(B48,品項與安全庫存!$A$5:$A$104,0)),""))</f>
        <v/>
      </c>
      <c r="D48" s="19" t="str">
        <f aca="false">IF(B48="","",IFERROR(INDEX(品項與安全庫存!$J$5:$J$104,MATCH(B48,品項與安全庫存!$A$5:$A$104,0)),""))</f>
        <v/>
      </c>
      <c r="E48" s="18"/>
      <c r="F48" s="26" t="str">
        <f aca="false">IF(OR(E48="",D48=""),"",E48-D48)</f>
        <v/>
      </c>
      <c r="G48" s="27"/>
      <c r="H48" s="27"/>
    </row>
    <row r="49" customFormat="false" ht="15" hidden="false" customHeight="false" outlineLevel="0" collapsed="false">
      <c r="A49" s="25"/>
      <c r="B49" s="14"/>
      <c r="C49" s="20" t="str">
        <f aca="false">IF(B49="","",IFERROR(INDEX(品項與安全庫存!$C$5:$C$104,MATCH(B49,品項與安全庫存!$A$5:$A$104,0)),""))</f>
        <v/>
      </c>
      <c r="D49" s="19" t="str">
        <f aca="false">IF(B49="","",IFERROR(INDEX(品項與安全庫存!$J$5:$J$104,MATCH(B49,品項與安全庫存!$A$5:$A$104,0)),""))</f>
        <v/>
      </c>
      <c r="E49" s="18"/>
      <c r="F49" s="26" t="str">
        <f aca="false">IF(OR(E49="",D49=""),"",E49-D49)</f>
        <v/>
      </c>
      <c r="G49" s="27"/>
      <c r="H49" s="27"/>
    </row>
    <row r="50" customFormat="false" ht="15" hidden="false" customHeight="false" outlineLevel="0" collapsed="false">
      <c r="A50" s="25"/>
      <c r="B50" s="14"/>
      <c r="C50" s="20" t="str">
        <f aca="false">IF(B50="","",IFERROR(INDEX(品項與安全庫存!$C$5:$C$104,MATCH(B50,品項與安全庫存!$A$5:$A$104,0)),""))</f>
        <v/>
      </c>
      <c r="D50" s="19" t="str">
        <f aca="false">IF(B50="","",IFERROR(INDEX(品項與安全庫存!$J$5:$J$104,MATCH(B50,品項與安全庫存!$A$5:$A$104,0)),""))</f>
        <v/>
      </c>
      <c r="E50" s="18"/>
      <c r="F50" s="26" t="str">
        <f aca="false">IF(OR(E50="",D50=""),"",E50-D50)</f>
        <v/>
      </c>
      <c r="G50" s="27"/>
      <c r="H50" s="27"/>
    </row>
    <row r="51" customFormat="false" ht="15" hidden="false" customHeight="false" outlineLevel="0" collapsed="false">
      <c r="A51" s="25"/>
      <c r="B51" s="14"/>
      <c r="C51" s="20" t="str">
        <f aca="false">IF(B51="","",IFERROR(INDEX(品項與安全庫存!$C$5:$C$104,MATCH(B51,品項與安全庫存!$A$5:$A$104,0)),""))</f>
        <v/>
      </c>
      <c r="D51" s="19" t="str">
        <f aca="false">IF(B51="","",IFERROR(INDEX(品項與安全庫存!$J$5:$J$104,MATCH(B51,品項與安全庫存!$A$5:$A$104,0)),""))</f>
        <v/>
      </c>
      <c r="E51" s="18"/>
      <c r="F51" s="26" t="str">
        <f aca="false">IF(OR(E51="",D51=""),"",E51-D51)</f>
        <v/>
      </c>
      <c r="G51" s="27"/>
      <c r="H51" s="27"/>
    </row>
    <row r="52" customFormat="false" ht="15" hidden="false" customHeight="false" outlineLevel="0" collapsed="false">
      <c r="A52" s="25"/>
      <c r="B52" s="14"/>
      <c r="C52" s="20" t="str">
        <f aca="false">IF(B52="","",IFERROR(INDEX(品項與安全庫存!$C$5:$C$104,MATCH(B52,品項與安全庫存!$A$5:$A$104,0)),""))</f>
        <v/>
      </c>
      <c r="D52" s="19" t="str">
        <f aca="false">IF(B52="","",IFERROR(INDEX(品項與安全庫存!$J$5:$J$104,MATCH(B52,品項與安全庫存!$A$5:$A$104,0)),""))</f>
        <v/>
      </c>
      <c r="E52" s="18"/>
      <c r="F52" s="26" t="str">
        <f aca="false">IF(OR(E52="",D52=""),"",E52-D52)</f>
        <v/>
      </c>
      <c r="G52" s="27"/>
      <c r="H52" s="27"/>
    </row>
    <row r="53" customFormat="false" ht="15" hidden="false" customHeight="false" outlineLevel="0" collapsed="false">
      <c r="A53" s="25"/>
      <c r="B53" s="14"/>
      <c r="C53" s="20" t="str">
        <f aca="false">IF(B53="","",IFERROR(INDEX(品項與安全庫存!$C$5:$C$104,MATCH(B53,品項與安全庫存!$A$5:$A$104,0)),""))</f>
        <v/>
      </c>
      <c r="D53" s="19" t="str">
        <f aca="false">IF(B53="","",IFERROR(INDEX(品項與安全庫存!$J$5:$J$104,MATCH(B53,品項與安全庫存!$A$5:$A$104,0)),""))</f>
        <v/>
      </c>
      <c r="E53" s="18"/>
      <c r="F53" s="26" t="str">
        <f aca="false">IF(OR(E53="",D53=""),"",E53-D53)</f>
        <v/>
      </c>
      <c r="G53" s="27"/>
      <c r="H53" s="27"/>
    </row>
    <row r="54" customFormat="false" ht="15" hidden="false" customHeight="false" outlineLevel="0" collapsed="false">
      <c r="A54" s="25"/>
      <c r="B54" s="14"/>
      <c r="C54" s="20" t="str">
        <f aca="false">IF(B54="","",IFERROR(INDEX(品項與安全庫存!$C$5:$C$104,MATCH(B54,品項與安全庫存!$A$5:$A$104,0)),""))</f>
        <v/>
      </c>
      <c r="D54" s="19" t="str">
        <f aca="false">IF(B54="","",IFERROR(INDEX(品項與安全庫存!$J$5:$J$104,MATCH(B54,品項與安全庫存!$A$5:$A$104,0)),""))</f>
        <v/>
      </c>
      <c r="E54" s="18"/>
      <c r="F54" s="26" t="str">
        <f aca="false">IF(OR(E54="",D54=""),"",E54-D54)</f>
        <v/>
      </c>
      <c r="G54" s="27"/>
      <c r="H54" s="27"/>
    </row>
    <row r="55" customFormat="false" ht="15" hidden="false" customHeight="false" outlineLevel="0" collapsed="false">
      <c r="A55" s="25"/>
      <c r="B55" s="14"/>
      <c r="C55" s="20" t="str">
        <f aca="false">IF(B55="","",IFERROR(INDEX(品項與安全庫存!$C$5:$C$104,MATCH(B55,品項與安全庫存!$A$5:$A$104,0)),""))</f>
        <v/>
      </c>
      <c r="D55" s="19" t="str">
        <f aca="false">IF(B55="","",IFERROR(INDEX(品項與安全庫存!$J$5:$J$104,MATCH(B55,品項與安全庫存!$A$5:$A$104,0)),""))</f>
        <v/>
      </c>
      <c r="E55" s="18"/>
      <c r="F55" s="26" t="str">
        <f aca="false">IF(OR(E55="",D55=""),"",E55-D55)</f>
        <v/>
      </c>
      <c r="G55" s="27"/>
      <c r="H55" s="27"/>
    </row>
    <row r="56" customFormat="false" ht="15" hidden="false" customHeight="false" outlineLevel="0" collapsed="false">
      <c r="A56" s="25"/>
      <c r="B56" s="14"/>
      <c r="C56" s="20" t="str">
        <f aca="false">IF(B56="","",IFERROR(INDEX(品項與安全庫存!$C$5:$C$104,MATCH(B56,品項與安全庫存!$A$5:$A$104,0)),""))</f>
        <v/>
      </c>
      <c r="D56" s="19" t="str">
        <f aca="false">IF(B56="","",IFERROR(INDEX(品項與安全庫存!$J$5:$J$104,MATCH(B56,品項與安全庫存!$A$5:$A$104,0)),""))</f>
        <v/>
      </c>
      <c r="E56" s="18"/>
      <c r="F56" s="26" t="str">
        <f aca="false">IF(OR(E56="",D56=""),"",E56-D56)</f>
        <v/>
      </c>
      <c r="G56" s="27"/>
      <c r="H56" s="27"/>
    </row>
    <row r="57" customFormat="false" ht="15" hidden="false" customHeight="false" outlineLevel="0" collapsed="false">
      <c r="A57" s="25"/>
      <c r="B57" s="14"/>
      <c r="C57" s="20" t="str">
        <f aca="false">IF(B57="","",IFERROR(INDEX(品項與安全庫存!$C$5:$C$104,MATCH(B57,品項與安全庫存!$A$5:$A$104,0)),""))</f>
        <v/>
      </c>
      <c r="D57" s="19" t="str">
        <f aca="false">IF(B57="","",IFERROR(INDEX(品項與安全庫存!$J$5:$J$104,MATCH(B57,品項與安全庫存!$A$5:$A$104,0)),""))</f>
        <v/>
      </c>
      <c r="E57" s="18"/>
      <c r="F57" s="26" t="str">
        <f aca="false">IF(OR(E57="",D57=""),"",E57-D57)</f>
        <v/>
      </c>
      <c r="G57" s="27"/>
      <c r="H57" s="27"/>
    </row>
    <row r="58" customFormat="false" ht="15" hidden="false" customHeight="false" outlineLevel="0" collapsed="false">
      <c r="A58" s="25"/>
      <c r="B58" s="14"/>
      <c r="C58" s="20" t="str">
        <f aca="false">IF(B58="","",IFERROR(INDEX(品項與安全庫存!$C$5:$C$104,MATCH(B58,品項與安全庫存!$A$5:$A$104,0)),""))</f>
        <v/>
      </c>
      <c r="D58" s="19" t="str">
        <f aca="false">IF(B58="","",IFERROR(INDEX(品項與安全庫存!$J$5:$J$104,MATCH(B58,品項與安全庫存!$A$5:$A$104,0)),""))</f>
        <v/>
      </c>
      <c r="E58" s="18"/>
      <c r="F58" s="26" t="str">
        <f aca="false">IF(OR(E58="",D58=""),"",E58-D58)</f>
        <v/>
      </c>
      <c r="G58" s="27"/>
      <c r="H58" s="27"/>
    </row>
    <row r="59" customFormat="false" ht="15" hidden="false" customHeight="false" outlineLevel="0" collapsed="false">
      <c r="A59" s="25"/>
      <c r="B59" s="14"/>
      <c r="C59" s="20" t="str">
        <f aca="false">IF(B59="","",IFERROR(INDEX(品項與安全庫存!$C$5:$C$104,MATCH(B59,品項與安全庫存!$A$5:$A$104,0)),""))</f>
        <v/>
      </c>
      <c r="D59" s="19" t="str">
        <f aca="false">IF(B59="","",IFERROR(INDEX(品項與安全庫存!$J$5:$J$104,MATCH(B59,品項與安全庫存!$A$5:$A$104,0)),""))</f>
        <v/>
      </c>
      <c r="E59" s="18"/>
      <c r="F59" s="26" t="str">
        <f aca="false">IF(OR(E59="",D59=""),"",E59-D59)</f>
        <v/>
      </c>
      <c r="G59" s="27"/>
      <c r="H59" s="27"/>
    </row>
    <row r="60" customFormat="false" ht="15" hidden="false" customHeight="false" outlineLevel="0" collapsed="false">
      <c r="A60" s="25"/>
      <c r="B60" s="14"/>
      <c r="C60" s="20" t="str">
        <f aca="false">IF(B60="","",IFERROR(INDEX(品項與安全庫存!$C$5:$C$104,MATCH(B60,品項與安全庫存!$A$5:$A$104,0)),""))</f>
        <v/>
      </c>
      <c r="D60" s="19" t="str">
        <f aca="false">IF(B60="","",IFERROR(INDEX(品項與安全庫存!$J$5:$J$104,MATCH(B60,品項與安全庫存!$A$5:$A$104,0)),""))</f>
        <v/>
      </c>
      <c r="E60" s="18"/>
      <c r="F60" s="26" t="str">
        <f aca="false">IF(OR(E60="",D60=""),"",E60-D60)</f>
        <v/>
      </c>
      <c r="G60" s="27"/>
      <c r="H60" s="27"/>
    </row>
    <row r="61" customFormat="false" ht="15" hidden="false" customHeight="false" outlineLevel="0" collapsed="false">
      <c r="A61" s="25"/>
      <c r="B61" s="14"/>
      <c r="C61" s="20" t="str">
        <f aca="false">IF(B61="","",IFERROR(INDEX(品項與安全庫存!$C$5:$C$104,MATCH(B61,品項與安全庫存!$A$5:$A$104,0)),""))</f>
        <v/>
      </c>
      <c r="D61" s="19" t="str">
        <f aca="false">IF(B61="","",IFERROR(INDEX(品項與安全庫存!$J$5:$J$104,MATCH(B61,品項與安全庫存!$A$5:$A$104,0)),""))</f>
        <v/>
      </c>
      <c r="E61" s="18"/>
      <c r="F61" s="26" t="str">
        <f aca="false">IF(OR(E61="",D61=""),"",E61-D61)</f>
        <v/>
      </c>
      <c r="G61" s="27"/>
      <c r="H61" s="27"/>
    </row>
    <row r="62" customFormat="false" ht="15" hidden="false" customHeight="false" outlineLevel="0" collapsed="false">
      <c r="A62" s="25"/>
      <c r="B62" s="14"/>
      <c r="C62" s="20" t="str">
        <f aca="false">IF(B62="","",IFERROR(INDEX(品項與安全庫存!$C$5:$C$104,MATCH(B62,品項與安全庫存!$A$5:$A$104,0)),""))</f>
        <v/>
      </c>
      <c r="D62" s="19" t="str">
        <f aca="false">IF(B62="","",IFERROR(INDEX(品項與安全庫存!$J$5:$J$104,MATCH(B62,品項與安全庫存!$A$5:$A$104,0)),""))</f>
        <v/>
      </c>
      <c r="E62" s="18"/>
      <c r="F62" s="26" t="str">
        <f aca="false">IF(OR(E62="",D62=""),"",E62-D62)</f>
        <v/>
      </c>
      <c r="G62" s="27"/>
      <c r="H62" s="27"/>
    </row>
    <row r="63" customFormat="false" ht="15" hidden="false" customHeight="false" outlineLevel="0" collapsed="false">
      <c r="A63" s="25"/>
      <c r="B63" s="14"/>
      <c r="C63" s="20" t="str">
        <f aca="false">IF(B63="","",IFERROR(INDEX(品項與安全庫存!$C$5:$C$104,MATCH(B63,品項與安全庫存!$A$5:$A$104,0)),""))</f>
        <v/>
      </c>
      <c r="D63" s="19" t="str">
        <f aca="false">IF(B63="","",IFERROR(INDEX(品項與安全庫存!$J$5:$J$104,MATCH(B63,品項與安全庫存!$A$5:$A$104,0)),""))</f>
        <v/>
      </c>
      <c r="E63" s="18"/>
      <c r="F63" s="26" t="str">
        <f aca="false">IF(OR(E63="",D63=""),"",E63-D63)</f>
        <v/>
      </c>
      <c r="G63" s="27"/>
      <c r="H63" s="27"/>
    </row>
    <row r="64" customFormat="false" ht="15" hidden="false" customHeight="false" outlineLevel="0" collapsed="false">
      <c r="A64" s="25"/>
      <c r="B64" s="14"/>
      <c r="C64" s="20" t="str">
        <f aca="false">IF(B64="","",IFERROR(INDEX(品項與安全庫存!$C$5:$C$104,MATCH(B64,品項與安全庫存!$A$5:$A$104,0)),""))</f>
        <v/>
      </c>
      <c r="D64" s="19" t="str">
        <f aca="false">IF(B64="","",IFERROR(INDEX(品項與安全庫存!$J$5:$J$104,MATCH(B64,品項與安全庫存!$A$5:$A$104,0)),""))</f>
        <v/>
      </c>
      <c r="E64" s="18"/>
      <c r="F64" s="26" t="str">
        <f aca="false">IF(OR(E64="",D64=""),"",E64-D64)</f>
        <v/>
      </c>
      <c r="G64" s="27"/>
      <c r="H64" s="27"/>
    </row>
    <row r="65" customFormat="false" ht="15" hidden="false" customHeight="false" outlineLevel="0" collapsed="false">
      <c r="A65" s="25"/>
      <c r="B65" s="14"/>
      <c r="C65" s="20" t="str">
        <f aca="false">IF(B65="","",IFERROR(INDEX(品項與安全庫存!$C$5:$C$104,MATCH(B65,品項與安全庫存!$A$5:$A$104,0)),""))</f>
        <v/>
      </c>
      <c r="D65" s="19" t="str">
        <f aca="false">IF(B65="","",IFERROR(INDEX(品項與安全庫存!$J$5:$J$104,MATCH(B65,品項與安全庫存!$A$5:$A$104,0)),""))</f>
        <v/>
      </c>
      <c r="E65" s="18"/>
      <c r="F65" s="26" t="str">
        <f aca="false">IF(OR(E65="",D65=""),"",E65-D65)</f>
        <v/>
      </c>
      <c r="G65" s="27"/>
      <c r="H65" s="27"/>
    </row>
    <row r="66" customFormat="false" ht="15" hidden="false" customHeight="false" outlineLevel="0" collapsed="false">
      <c r="A66" s="25"/>
      <c r="B66" s="14"/>
      <c r="C66" s="20" t="str">
        <f aca="false">IF(B66="","",IFERROR(INDEX(品項與安全庫存!$C$5:$C$104,MATCH(B66,品項與安全庫存!$A$5:$A$104,0)),""))</f>
        <v/>
      </c>
      <c r="D66" s="19" t="str">
        <f aca="false">IF(B66="","",IFERROR(INDEX(品項與安全庫存!$J$5:$J$104,MATCH(B66,品項與安全庫存!$A$5:$A$104,0)),""))</f>
        <v/>
      </c>
      <c r="E66" s="18"/>
      <c r="F66" s="26" t="str">
        <f aca="false">IF(OR(E66="",D66=""),"",E66-D66)</f>
        <v/>
      </c>
      <c r="G66" s="27"/>
      <c r="H66" s="27"/>
    </row>
    <row r="67" customFormat="false" ht="15" hidden="false" customHeight="false" outlineLevel="0" collapsed="false">
      <c r="A67" s="25"/>
      <c r="B67" s="14"/>
      <c r="C67" s="20" t="str">
        <f aca="false">IF(B67="","",IFERROR(INDEX(品項與安全庫存!$C$5:$C$104,MATCH(B67,品項與安全庫存!$A$5:$A$104,0)),""))</f>
        <v/>
      </c>
      <c r="D67" s="19" t="str">
        <f aca="false">IF(B67="","",IFERROR(INDEX(品項與安全庫存!$J$5:$J$104,MATCH(B67,品項與安全庫存!$A$5:$A$104,0)),""))</f>
        <v/>
      </c>
      <c r="E67" s="18"/>
      <c r="F67" s="26" t="str">
        <f aca="false">IF(OR(E67="",D67=""),"",E67-D67)</f>
        <v/>
      </c>
      <c r="G67" s="27"/>
      <c r="H67" s="27"/>
    </row>
    <row r="68" customFormat="false" ht="15" hidden="false" customHeight="false" outlineLevel="0" collapsed="false">
      <c r="A68" s="25"/>
      <c r="B68" s="14"/>
      <c r="C68" s="20" t="str">
        <f aca="false">IF(B68="","",IFERROR(INDEX(品項與安全庫存!$C$5:$C$104,MATCH(B68,品項與安全庫存!$A$5:$A$104,0)),""))</f>
        <v/>
      </c>
      <c r="D68" s="19" t="str">
        <f aca="false">IF(B68="","",IFERROR(INDEX(品項與安全庫存!$J$5:$J$104,MATCH(B68,品項與安全庫存!$A$5:$A$104,0)),""))</f>
        <v/>
      </c>
      <c r="E68" s="18"/>
      <c r="F68" s="26" t="str">
        <f aca="false">IF(OR(E68="",D68=""),"",E68-D68)</f>
        <v/>
      </c>
      <c r="G68" s="27"/>
      <c r="H68" s="27"/>
    </row>
    <row r="69" customFormat="false" ht="15" hidden="false" customHeight="false" outlineLevel="0" collapsed="false">
      <c r="A69" s="25"/>
      <c r="B69" s="14"/>
      <c r="C69" s="20" t="str">
        <f aca="false">IF(B69="","",IFERROR(INDEX(品項與安全庫存!$C$5:$C$104,MATCH(B69,品項與安全庫存!$A$5:$A$104,0)),""))</f>
        <v/>
      </c>
      <c r="D69" s="19" t="str">
        <f aca="false">IF(B69="","",IFERROR(INDEX(品項與安全庫存!$J$5:$J$104,MATCH(B69,品項與安全庫存!$A$5:$A$104,0)),""))</f>
        <v/>
      </c>
      <c r="E69" s="18"/>
      <c r="F69" s="26" t="str">
        <f aca="false">IF(OR(E69="",D69=""),"",E69-D69)</f>
        <v/>
      </c>
      <c r="G69" s="27"/>
      <c r="H69" s="27"/>
    </row>
    <row r="70" customFormat="false" ht="15" hidden="false" customHeight="false" outlineLevel="0" collapsed="false">
      <c r="A70" s="25"/>
      <c r="B70" s="14"/>
      <c r="C70" s="20" t="str">
        <f aca="false">IF(B70="","",IFERROR(INDEX(品項與安全庫存!$C$5:$C$104,MATCH(B70,品項與安全庫存!$A$5:$A$104,0)),""))</f>
        <v/>
      </c>
      <c r="D70" s="19" t="str">
        <f aca="false">IF(B70="","",IFERROR(INDEX(品項與安全庫存!$J$5:$J$104,MATCH(B70,品項與安全庫存!$A$5:$A$104,0)),""))</f>
        <v/>
      </c>
      <c r="E70" s="18"/>
      <c r="F70" s="26" t="str">
        <f aca="false">IF(OR(E70="",D70=""),"",E70-D70)</f>
        <v/>
      </c>
      <c r="G70" s="27"/>
      <c r="H70" s="27"/>
    </row>
    <row r="71" customFormat="false" ht="15" hidden="false" customHeight="false" outlineLevel="0" collapsed="false">
      <c r="A71" s="25"/>
      <c r="B71" s="14"/>
      <c r="C71" s="20" t="str">
        <f aca="false">IF(B71="","",IFERROR(INDEX(品項與安全庫存!$C$5:$C$104,MATCH(B71,品項與安全庫存!$A$5:$A$104,0)),""))</f>
        <v/>
      </c>
      <c r="D71" s="19" t="str">
        <f aca="false">IF(B71="","",IFERROR(INDEX(品項與安全庫存!$J$5:$J$104,MATCH(B71,品項與安全庫存!$A$5:$A$104,0)),""))</f>
        <v/>
      </c>
      <c r="E71" s="18"/>
      <c r="F71" s="26" t="str">
        <f aca="false">IF(OR(E71="",D71=""),"",E71-D71)</f>
        <v/>
      </c>
      <c r="G71" s="27"/>
      <c r="H71" s="27"/>
    </row>
    <row r="72" customFormat="false" ht="15" hidden="false" customHeight="false" outlineLevel="0" collapsed="false">
      <c r="A72" s="25"/>
      <c r="B72" s="14"/>
      <c r="C72" s="20" t="str">
        <f aca="false">IF(B72="","",IFERROR(INDEX(品項與安全庫存!$C$5:$C$104,MATCH(B72,品項與安全庫存!$A$5:$A$104,0)),""))</f>
        <v/>
      </c>
      <c r="D72" s="19" t="str">
        <f aca="false">IF(B72="","",IFERROR(INDEX(品項與安全庫存!$J$5:$J$104,MATCH(B72,品項與安全庫存!$A$5:$A$104,0)),""))</f>
        <v/>
      </c>
      <c r="E72" s="18"/>
      <c r="F72" s="26" t="str">
        <f aca="false">IF(OR(E72="",D72=""),"",E72-D72)</f>
        <v/>
      </c>
      <c r="G72" s="27"/>
      <c r="H72" s="27"/>
    </row>
    <row r="73" customFormat="false" ht="15" hidden="false" customHeight="false" outlineLevel="0" collapsed="false">
      <c r="A73" s="25"/>
      <c r="B73" s="14"/>
      <c r="C73" s="20" t="str">
        <f aca="false">IF(B73="","",IFERROR(INDEX(品項與安全庫存!$C$5:$C$104,MATCH(B73,品項與安全庫存!$A$5:$A$104,0)),""))</f>
        <v/>
      </c>
      <c r="D73" s="19" t="str">
        <f aca="false">IF(B73="","",IFERROR(INDEX(品項與安全庫存!$J$5:$J$104,MATCH(B73,品項與安全庫存!$A$5:$A$104,0)),""))</f>
        <v/>
      </c>
      <c r="E73" s="18"/>
      <c r="F73" s="26" t="str">
        <f aca="false">IF(OR(E73="",D73=""),"",E73-D73)</f>
        <v/>
      </c>
      <c r="G73" s="27"/>
      <c r="H73" s="27"/>
    </row>
    <row r="74" customFormat="false" ht="15" hidden="false" customHeight="false" outlineLevel="0" collapsed="false">
      <c r="A74" s="25"/>
      <c r="B74" s="14"/>
      <c r="C74" s="20" t="str">
        <f aca="false">IF(B74="","",IFERROR(INDEX(品項與安全庫存!$C$5:$C$104,MATCH(B74,品項與安全庫存!$A$5:$A$104,0)),""))</f>
        <v/>
      </c>
      <c r="D74" s="19" t="str">
        <f aca="false">IF(B74="","",IFERROR(INDEX(品項與安全庫存!$J$5:$J$104,MATCH(B74,品項與安全庫存!$A$5:$A$104,0)),""))</f>
        <v/>
      </c>
      <c r="E74" s="18"/>
      <c r="F74" s="26" t="str">
        <f aca="false">IF(OR(E74="",D74=""),"",E74-D74)</f>
        <v/>
      </c>
      <c r="G74" s="27"/>
      <c r="H74" s="27"/>
    </row>
    <row r="75" customFormat="false" ht="15" hidden="false" customHeight="false" outlineLevel="0" collapsed="false">
      <c r="A75" s="25"/>
      <c r="B75" s="14"/>
      <c r="C75" s="20" t="str">
        <f aca="false">IF(B75="","",IFERROR(INDEX(品項與安全庫存!$C$5:$C$104,MATCH(B75,品項與安全庫存!$A$5:$A$104,0)),""))</f>
        <v/>
      </c>
      <c r="D75" s="19" t="str">
        <f aca="false">IF(B75="","",IFERROR(INDEX(品項與安全庫存!$J$5:$J$104,MATCH(B75,品項與安全庫存!$A$5:$A$104,0)),""))</f>
        <v/>
      </c>
      <c r="E75" s="18"/>
      <c r="F75" s="26" t="str">
        <f aca="false">IF(OR(E75="",D75=""),"",E75-D75)</f>
        <v/>
      </c>
      <c r="G75" s="27"/>
      <c r="H75" s="27"/>
    </row>
    <row r="76" customFormat="false" ht="15" hidden="false" customHeight="false" outlineLevel="0" collapsed="false">
      <c r="A76" s="25"/>
      <c r="B76" s="14"/>
      <c r="C76" s="20" t="str">
        <f aca="false">IF(B76="","",IFERROR(INDEX(品項與安全庫存!$C$5:$C$104,MATCH(B76,品項與安全庫存!$A$5:$A$104,0)),""))</f>
        <v/>
      </c>
      <c r="D76" s="19" t="str">
        <f aca="false">IF(B76="","",IFERROR(INDEX(品項與安全庫存!$J$5:$J$104,MATCH(B76,品項與安全庫存!$A$5:$A$104,0)),""))</f>
        <v/>
      </c>
      <c r="E76" s="18"/>
      <c r="F76" s="26" t="str">
        <f aca="false">IF(OR(E76="",D76=""),"",E76-D76)</f>
        <v/>
      </c>
      <c r="G76" s="27"/>
      <c r="H76" s="27"/>
    </row>
    <row r="77" customFormat="false" ht="15" hidden="false" customHeight="false" outlineLevel="0" collapsed="false">
      <c r="A77" s="25"/>
      <c r="B77" s="14"/>
      <c r="C77" s="20" t="str">
        <f aca="false">IF(B77="","",IFERROR(INDEX(品項與安全庫存!$C$5:$C$104,MATCH(B77,品項與安全庫存!$A$5:$A$104,0)),""))</f>
        <v/>
      </c>
      <c r="D77" s="19" t="str">
        <f aca="false">IF(B77="","",IFERROR(INDEX(品項與安全庫存!$J$5:$J$104,MATCH(B77,品項與安全庫存!$A$5:$A$104,0)),""))</f>
        <v/>
      </c>
      <c r="E77" s="18"/>
      <c r="F77" s="26" t="str">
        <f aca="false">IF(OR(E77="",D77=""),"",E77-D77)</f>
        <v/>
      </c>
      <c r="G77" s="27"/>
      <c r="H77" s="27"/>
    </row>
    <row r="78" customFormat="false" ht="15" hidden="false" customHeight="false" outlineLevel="0" collapsed="false">
      <c r="A78" s="25"/>
      <c r="B78" s="14"/>
      <c r="C78" s="20" t="str">
        <f aca="false">IF(B78="","",IFERROR(INDEX(品項與安全庫存!$C$5:$C$104,MATCH(B78,品項與安全庫存!$A$5:$A$104,0)),""))</f>
        <v/>
      </c>
      <c r="D78" s="19" t="str">
        <f aca="false">IF(B78="","",IFERROR(INDEX(品項與安全庫存!$J$5:$J$104,MATCH(B78,品項與安全庫存!$A$5:$A$104,0)),""))</f>
        <v/>
      </c>
      <c r="E78" s="18"/>
      <c r="F78" s="26" t="str">
        <f aca="false">IF(OR(E78="",D78=""),"",E78-D78)</f>
        <v/>
      </c>
      <c r="G78" s="27"/>
      <c r="H78" s="27"/>
    </row>
    <row r="79" customFormat="false" ht="15" hidden="false" customHeight="false" outlineLevel="0" collapsed="false">
      <c r="A79" s="25"/>
      <c r="B79" s="14"/>
      <c r="C79" s="20" t="str">
        <f aca="false">IF(B79="","",IFERROR(INDEX(品項與安全庫存!$C$5:$C$104,MATCH(B79,品項與安全庫存!$A$5:$A$104,0)),""))</f>
        <v/>
      </c>
      <c r="D79" s="19" t="str">
        <f aca="false">IF(B79="","",IFERROR(INDEX(品項與安全庫存!$J$5:$J$104,MATCH(B79,品項與安全庫存!$A$5:$A$104,0)),""))</f>
        <v/>
      </c>
      <c r="E79" s="18"/>
      <c r="F79" s="26" t="str">
        <f aca="false">IF(OR(E79="",D79=""),"",E79-D79)</f>
        <v/>
      </c>
      <c r="G79" s="27"/>
      <c r="H79" s="27"/>
    </row>
    <row r="80" customFormat="false" ht="15" hidden="false" customHeight="false" outlineLevel="0" collapsed="false">
      <c r="A80" s="25"/>
      <c r="B80" s="14"/>
      <c r="C80" s="20" t="str">
        <f aca="false">IF(B80="","",IFERROR(INDEX(品項與安全庫存!$C$5:$C$104,MATCH(B80,品項與安全庫存!$A$5:$A$104,0)),""))</f>
        <v/>
      </c>
      <c r="D80" s="19" t="str">
        <f aca="false">IF(B80="","",IFERROR(INDEX(品項與安全庫存!$J$5:$J$104,MATCH(B80,品項與安全庫存!$A$5:$A$104,0)),""))</f>
        <v/>
      </c>
      <c r="E80" s="18"/>
      <c r="F80" s="26" t="str">
        <f aca="false">IF(OR(E80="",D80=""),"",E80-D80)</f>
        <v/>
      </c>
      <c r="G80" s="27"/>
      <c r="H80" s="27"/>
    </row>
    <row r="81" customFormat="false" ht="15" hidden="false" customHeight="false" outlineLevel="0" collapsed="false">
      <c r="A81" s="25"/>
      <c r="B81" s="14"/>
      <c r="C81" s="20" t="str">
        <f aca="false">IF(B81="","",IFERROR(INDEX(品項與安全庫存!$C$5:$C$104,MATCH(B81,品項與安全庫存!$A$5:$A$104,0)),""))</f>
        <v/>
      </c>
      <c r="D81" s="19" t="str">
        <f aca="false">IF(B81="","",IFERROR(INDEX(品項與安全庫存!$J$5:$J$104,MATCH(B81,品項與安全庫存!$A$5:$A$104,0)),""))</f>
        <v/>
      </c>
      <c r="E81" s="18"/>
      <c r="F81" s="26" t="str">
        <f aca="false">IF(OR(E81="",D81=""),"",E81-D81)</f>
        <v/>
      </c>
      <c r="G81" s="27"/>
      <c r="H81" s="27"/>
    </row>
    <row r="82" customFormat="false" ht="15" hidden="false" customHeight="false" outlineLevel="0" collapsed="false">
      <c r="A82" s="25"/>
      <c r="B82" s="14"/>
      <c r="C82" s="20" t="str">
        <f aca="false">IF(B82="","",IFERROR(INDEX(品項與安全庫存!$C$5:$C$104,MATCH(B82,品項與安全庫存!$A$5:$A$104,0)),""))</f>
        <v/>
      </c>
      <c r="D82" s="19" t="str">
        <f aca="false">IF(B82="","",IFERROR(INDEX(品項與安全庫存!$J$5:$J$104,MATCH(B82,品項與安全庫存!$A$5:$A$104,0)),""))</f>
        <v/>
      </c>
      <c r="E82" s="18"/>
      <c r="F82" s="26" t="str">
        <f aca="false">IF(OR(E82="",D82=""),"",E82-D82)</f>
        <v/>
      </c>
      <c r="G82" s="27"/>
      <c r="H82" s="27"/>
    </row>
    <row r="83" customFormat="false" ht="15" hidden="false" customHeight="false" outlineLevel="0" collapsed="false">
      <c r="A83" s="25"/>
      <c r="B83" s="14"/>
      <c r="C83" s="20" t="str">
        <f aca="false">IF(B83="","",IFERROR(INDEX(品項與安全庫存!$C$5:$C$104,MATCH(B83,品項與安全庫存!$A$5:$A$104,0)),""))</f>
        <v/>
      </c>
      <c r="D83" s="19" t="str">
        <f aca="false">IF(B83="","",IFERROR(INDEX(品項與安全庫存!$J$5:$J$104,MATCH(B83,品項與安全庫存!$A$5:$A$104,0)),""))</f>
        <v/>
      </c>
      <c r="E83" s="18"/>
      <c r="F83" s="26" t="str">
        <f aca="false">IF(OR(E83="",D83=""),"",E83-D83)</f>
        <v/>
      </c>
      <c r="G83" s="27"/>
      <c r="H83" s="27"/>
    </row>
    <row r="84" customFormat="false" ht="15" hidden="false" customHeight="false" outlineLevel="0" collapsed="false">
      <c r="A84" s="25"/>
      <c r="B84" s="14"/>
      <c r="C84" s="20" t="str">
        <f aca="false">IF(B84="","",IFERROR(INDEX(品項與安全庫存!$C$5:$C$104,MATCH(B84,品項與安全庫存!$A$5:$A$104,0)),""))</f>
        <v/>
      </c>
      <c r="D84" s="19" t="str">
        <f aca="false">IF(B84="","",IFERROR(INDEX(品項與安全庫存!$J$5:$J$104,MATCH(B84,品項與安全庫存!$A$5:$A$104,0)),""))</f>
        <v/>
      </c>
      <c r="E84" s="18"/>
      <c r="F84" s="26" t="str">
        <f aca="false">IF(OR(E84="",D84=""),"",E84-D84)</f>
        <v/>
      </c>
      <c r="G84" s="27"/>
      <c r="H84" s="27"/>
    </row>
    <row r="85" customFormat="false" ht="15" hidden="false" customHeight="false" outlineLevel="0" collapsed="false">
      <c r="A85" s="25"/>
      <c r="B85" s="14"/>
      <c r="C85" s="20" t="str">
        <f aca="false">IF(B85="","",IFERROR(INDEX(品項與安全庫存!$C$5:$C$104,MATCH(B85,品項與安全庫存!$A$5:$A$104,0)),""))</f>
        <v/>
      </c>
      <c r="D85" s="19" t="str">
        <f aca="false">IF(B85="","",IFERROR(INDEX(品項與安全庫存!$J$5:$J$104,MATCH(B85,品項與安全庫存!$A$5:$A$104,0)),""))</f>
        <v/>
      </c>
      <c r="E85" s="18"/>
      <c r="F85" s="26" t="str">
        <f aca="false">IF(OR(E85="",D85=""),"",E85-D85)</f>
        <v/>
      </c>
      <c r="G85" s="27"/>
      <c r="H85" s="27"/>
    </row>
    <row r="86" customFormat="false" ht="15" hidden="false" customHeight="false" outlineLevel="0" collapsed="false">
      <c r="A86" s="25"/>
      <c r="B86" s="14"/>
      <c r="C86" s="20" t="str">
        <f aca="false">IF(B86="","",IFERROR(INDEX(品項與安全庫存!$C$5:$C$104,MATCH(B86,品項與安全庫存!$A$5:$A$104,0)),""))</f>
        <v/>
      </c>
      <c r="D86" s="19" t="str">
        <f aca="false">IF(B86="","",IFERROR(INDEX(品項與安全庫存!$J$5:$J$104,MATCH(B86,品項與安全庫存!$A$5:$A$104,0)),""))</f>
        <v/>
      </c>
      <c r="E86" s="18"/>
      <c r="F86" s="26" t="str">
        <f aca="false">IF(OR(E86="",D86=""),"",E86-D86)</f>
        <v/>
      </c>
      <c r="G86" s="27"/>
      <c r="H86" s="27"/>
    </row>
    <row r="87" customFormat="false" ht="15" hidden="false" customHeight="false" outlineLevel="0" collapsed="false">
      <c r="A87" s="25"/>
      <c r="B87" s="14"/>
      <c r="C87" s="20" t="str">
        <f aca="false">IF(B87="","",IFERROR(INDEX(品項與安全庫存!$C$5:$C$104,MATCH(B87,品項與安全庫存!$A$5:$A$104,0)),""))</f>
        <v/>
      </c>
      <c r="D87" s="19" t="str">
        <f aca="false">IF(B87="","",IFERROR(INDEX(品項與安全庫存!$J$5:$J$104,MATCH(B87,品項與安全庫存!$A$5:$A$104,0)),""))</f>
        <v/>
      </c>
      <c r="E87" s="18"/>
      <c r="F87" s="26" t="str">
        <f aca="false">IF(OR(E87="",D87=""),"",E87-D87)</f>
        <v/>
      </c>
      <c r="G87" s="27"/>
      <c r="H87" s="27"/>
    </row>
    <row r="88" customFormat="false" ht="15" hidden="false" customHeight="false" outlineLevel="0" collapsed="false">
      <c r="A88" s="25"/>
      <c r="B88" s="14"/>
      <c r="C88" s="20" t="str">
        <f aca="false">IF(B88="","",IFERROR(INDEX(品項與安全庫存!$C$5:$C$104,MATCH(B88,品項與安全庫存!$A$5:$A$104,0)),""))</f>
        <v/>
      </c>
      <c r="D88" s="19" t="str">
        <f aca="false">IF(B88="","",IFERROR(INDEX(品項與安全庫存!$J$5:$J$104,MATCH(B88,品項與安全庫存!$A$5:$A$104,0)),""))</f>
        <v/>
      </c>
      <c r="E88" s="18"/>
      <c r="F88" s="26" t="str">
        <f aca="false">IF(OR(E88="",D88=""),"",E88-D88)</f>
        <v/>
      </c>
      <c r="G88" s="27"/>
      <c r="H88" s="27"/>
    </row>
    <row r="89" customFormat="false" ht="15" hidden="false" customHeight="false" outlineLevel="0" collapsed="false">
      <c r="A89" s="25"/>
      <c r="B89" s="14"/>
      <c r="C89" s="20" t="str">
        <f aca="false">IF(B89="","",IFERROR(INDEX(品項與安全庫存!$C$5:$C$104,MATCH(B89,品項與安全庫存!$A$5:$A$104,0)),""))</f>
        <v/>
      </c>
      <c r="D89" s="19" t="str">
        <f aca="false">IF(B89="","",IFERROR(INDEX(品項與安全庫存!$J$5:$J$104,MATCH(B89,品項與安全庫存!$A$5:$A$104,0)),""))</f>
        <v/>
      </c>
      <c r="E89" s="18"/>
      <c r="F89" s="26" t="str">
        <f aca="false">IF(OR(E89="",D89=""),"",E89-D89)</f>
        <v/>
      </c>
      <c r="G89" s="27"/>
      <c r="H89" s="27"/>
    </row>
    <row r="90" customFormat="false" ht="15" hidden="false" customHeight="false" outlineLevel="0" collapsed="false">
      <c r="A90" s="25"/>
      <c r="B90" s="14"/>
      <c r="C90" s="20" t="str">
        <f aca="false">IF(B90="","",IFERROR(INDEX(品項與安全庫存!$C$5:$C$104,MATCH(B90,品項與安全庫存!$A$5:$A$104,0)),""))</f>
        <v/>
      </c>
      <c r="D90" s="19" t="str">
        <f aca="false">IF(B90="","",IFERROR(INDEX(品項與安全庫存!$J$5:$J$104,MATCH(B90,品項與安全庫存!$A$5:$A$104,0)),""))</f>
        <v/>
      </c>
      <c r="E90" s="18"/>
      <c r="F90" s="26" t="str">
        <f aca="false">IF(OR(E90="",D90=""),"",E90-D90)</f>
        <v/>
      </c>
      <c r="G90" s="27"/>
      <c r="H90" s="27"/>
    </row>
    <row r="91" customFormat="false" ht="15" hidden="false" customHeight="false" outlineLevel="0" collapsed="false">
      <c r="A91" s="25"/>
      <c r="B91" s="14"/>
      <c r="C91" s="20" t="str">
        <f aca="false">IF(B91="","",IFERROR(INDEX(品項與安全庫存!$C$5:$C$104,MATCH(B91,品項與安全庫存!$A$5:$A$104,0)),""))</f>
        <v/>
      </c>
      <c r="D91" s="19" t="str">
        <f aca="false">IF(B91="","",IFERROR(INDEX(品項與安全庫存!$J$5:$J$104,MATCH(B91,品項與安全庫存!$A$5:$A$104,0)),""))</f>
        <v/>
      </c>
      <c r="E91" s="18"/>
      <c r="F91" s="26" t="str">
        <f aca="false">IF(OR(E91="",D91=""),"",E91-D91)</f>
        <v/>
      </c>
      <c r="G91" s="27"/>
      <c r="H91" s="27"/>
    </row>
    <row r="92" customFormat="false" ht="15" hidden="false" customHeight="false" outlineLevel="0" collapsed="false">
      <c r="A92" s="25"/>
      <c r="B92" s="14"/>
      <c r="C92" s="20" t="str">
        <f aca="false">IF(B92="","",IFERROR(INDEX(品項與安全庫存!$C$5:$C$104,MATCH(B92,品項與安全庫存!$A$5:$A$104,0)),""))</f>
        <v/>
      </c>
      <c r="D92" s="19" t="str">
        <f aca="false">IF(B92="","",IFERROR(INDEX(品項與安全庫存!$J$5:$J$104,MATCH(B92,品項與安全庫存!$A$5:$A$104,0)),""))</f>
        <v/>
      </c>
      <c r="E92" s="18"/>
      <c r="F92" s="26" t="str">
        <f aca="false">IF(OR(E92="",D92=""),"",E92-D92)</f>
        <v/>
      </c>
      <c r="G92" s="27"/>
      <c r="H92" s="27"/>
    </row>
    <row r="93" customFormat="false" ht="15" hidden="false" customHeight="false" outlineLevel="0" collapsed="false">
      <c r="A93" s="25"/>
      <c r="B93" s="14"/>
      <c r="C93" s="20" t="str">
        <f aca="false">IF(B93="","",IFERROR(INDEX(品項與安全庫存!$C$5:$C$104,MATCH(B93,品項與安全庫存!$A$5:$A$104,0)),""))</f>
        <v/>
      </c>
      <c r="D93" s="19" t="str">
        <f aca="false">IF(B93="","",IFERROR(INDEX(品項與安全庫存!$J$5:$J$104,MATCH(B93,品項與安全庫存!$A$5:$A$104,0)),""))</f>
        <v/>
      </c>
      <c r="E93" s="18"/>
      <c r="F93" s="26" t="str">
        <f aca="false">IF(OR(E93="",D93=""),"",E93-D93)</f>
        <v/>
      </c>
      <c r="G93" s="27"/>
      <c r="H93" s="27"/>
    </row>
    <row r="94" customFormat="false" ht="15" hidden="false" customHeight="false" outlineLevel="0" collapsed="false">
      <c r="A94" s="25"/>
      <c r="B94" s="14"/>
      <c r="C94" s="20" t="str">
        <f aca="false">IF(B94="","",IFERROR(INDEX(品項與安全庫存!$C$5:$C$104,MATCH(B94,品項與安全庫存!$A$5:$A$104,0)),""))</f>
        <v/>
      </c>
      <c r="D94" s="19" t="str">
        <f aca="false">IF(B94="","",IFERROR(INDEX(品項與安全庫存!$J$5:$J$104,MATCH(B94,品項與安全庫存!$A$5:$A$104,0)),""))</f>
        <v/>
      </c>
      <c r="E94" s="18"/>
      <c r="F94" s="26" t="str">
        <f aca="false">IF(OR(E94="",D94=""),"",E94-D94)</f>
        <v/>
      </c>
      <c r="G94" s="27"/>
      <c r="H94" s="27"/>
    </row>
    <row r="95" customFormat="false" ht="15" hidden="false" customHeight="false" outlineLevel="0" collapsed="false">
      <c r="A95" s="25"/>
      <c r="B95" s="14"/>
      <c r="C95" s="20" t="str">
        <f aca="false">IF(B95="","",IFERROR(INDEX(品項與安全庫存!$C$5:$C$104,MATCH(B95,品項與安全庫存!$A$5:$A$104,0)),""))</f>
        <v/>
      </c>
      <c r="D95" s="19" t="str">
        <f aca="false">IF(B95="","",IFERROR(INDEX(品項與安全庫存!$J$5:$J$104,MATCH(B95,品項與安全庫存!$A$5:$A$104,0)),""))</f>
        <v/>
      </c>
      <c r="E95" s="18"/>
      <c r="F95" s="26" t="str">
        <f aca="false">IF(OR(E95="",D95=""),"",E95-D95)</f>
        <v/>
      </c>
      <c r="G95" s="27"/>
      <c r="H95" s="27"/>
    </row>
    <row r="96" customFormat="false" ht="15" hidden="false" customHeight="false" outlineLevel="0" collapsed="false">
      <c r="A96" s="25"/>
      <c r="B96" s="14"/>
      <c r="C96" s="20" t="str">
        <f aca="false">IF(B96="","",IFERROR(INDEX(品項與安全庫存!$C$5:$C$104,MATCH(B96,品項與安全庫存!$A$5:$A$104,0)),""))</f>
        <v/>
      </c>
      <c r="D96" s="19" t="str">
        <f aca="false">IF(B96="","",IFERROR(INDEX(品項與安全庫存!$J$5:$J$104,MATCH(B96,品項與安全庫存!$A$5:$A$104,0)),""))</f>
        <v/>
      </c>
      <c r="E96" s="18"/>
      <c r="F96" s="26" t="str">
        <f aca="false">IF(OR(E96="",D96=""),"",E96-D96)</f>
        <v/>
      </c>
      <c r="G96" s="27"/>
      <c r="H96" s="27"/>
    </row>
    <row r="97" customFormat="false" ht="15" hidden="false" customHeight="false" outlineLevel="0" collapsed="false">
      <c r="A97" s="25"/>
      <c r="B97" s="14"/>
      <c r="C97" s="20" t="str">
        <f aca="false">IF(B97="","",IFERROR(INDEX(品項與安全庫存!$C$5:$C$104,MATCH(B97,品項與安全庫存!$A$5:$A$104,0)),""))</f>
        <v/>
      </c>
      <c r="D97" s="19" t="str">
        <f aca="false">IF(B97="","",IFERROR(INDEX(品項與安全庫存!$J$5:$J$104,MATCH(B97,品項與安全庫存!$A$5:$A$104,0)),""))</f>
        <v/>
      </c>
      <c r="E97" s="18"/>
      <c r="F97" s="26" t="str">
        <f aca="false">IF(OR(E97="",D97=""),"",E97-D97)</f>
        <v/>
      </c>
      <c r="G97" s="27"/>
      <c r="H97" s="27"/>
    </row>
    <row r="98" customFormat="false" ht="15" hidden="false" customHeight="false" outlineLevel="0" collapsed="false">
      <c r="A98" s="25"/>
      <c r="B98" s="14"/>
      <c r="C98" s="20" t="str">
        <f aca="false">IF(B98="","",IFERROR(INDEX(品項與安全庫存!$C$5:$C$104,MATCH(B98,品項與安全庫存!$A$5:$A$104,0)),""))</f>
        <v/>
      </c>
      <c r="D98" s="19" t="str">
        <f aca="false">IF(B98="","",IFERROR(INDEX(品項與安全庫存!$J$5:$J$104,MATCH(B98,品項與安全庫存!$A$5:$A$104,0)),""))</f>
        <v/>
      </c>
      <c r="E98" s="18"/>
      <c r="F98" s="26" t="str">
        <f aca="false">IF(OR(E98="",D98=""),"",E98-D98)</f>
        <v/>
      </c>
      <c r="G98" s="27"/>
      <c r="H98" s="27"/>
    </row>
    <row r="99" customFormat="false" ht="15" hidden="false" customHeight="false" outlineLevel="0" collapsed="false">
      <c r="A99" s="25"/>
      <c r="B99" s="14"/>
      <c r="C99" s="20" t="str">
        <f aca="false">IF(B99="","",IFERROR(INDEX(品項與安全庫存!$C$5:$C$104,MATCH(B99,品項與安全庫存!$A$5:$A$104,0)),""))</f>
        <v/>
      </c>
      <c r="D99" s="19" t="str">
        <f aca="false">IF(B99="","",IFERROR(INDEX(品項與安全庫存!$J$5:$J$104,MATCH(B99,品項與安全庫存!$A$5:$A$104,0)),""))</f>
        <v/>
      </c>
      <c r="E99" s="18"/>
      <c r="F99" s="26" t="str">
        <f aca="false">IF(OR(E99="",D99=""),"",E99-D99)</f>
        <v/>
      </c>
      <c r="G99" s="27"/>
      <c r="H99" s="27"/>
    </row>
    <row r="100" customFormat="false" ht="15" hidden="false" customHeight="false" outlineLevel="0" collapsed="false">
      <c r="A100" s="25"/>
      <c r="B100" s="14"/>
      <c r="C100" s="20" t="str">
        <f aca="false">IF(B100="","",IFERROR(INDEX(品項與安全庫存!$C$5:$C$104,MATCH(B100,品項與安全庫存!$A$5:$A$104,0)),""))</f>
        <v/>
      </c>
      <c r="D100" s="19" t="str">
        <f aca="false">IF(B100="","",IFERROR(INDEX(品項與安全庫存!$J$5:$J$104,MATCH(B100,品項與安全庫存!$A$5:$A$104,0)),""))</f>
        <v/>
      </c>
      <c r="E100" s="18"/>
      <c r="F100" s="26" t="str">
        <f aca="false">IF(OR(E100="",D100=""),"",E100-D100)</f>
        <v/>
      </c>
      <c r="G100" s="27"/>
      <c r="H100" s="27"/>
    </row>
    <row r="101" customFormat="false" ht="15" hidden="false" customHeight="false" outlineLevel="0" collapsed="false">
      <c r="A101" s="25"/>
      <c r="B101" s="14"/>
      <c r="C101" s="20" t="str">
        <f aca="false">IF(B101="","",IFERROR(INDEX(品項與安全庫存!$C$5:$C$104,MATCH(B101,品項與安全庫存!$A$5:$A$104,0)),""))</f>
        <v/>
      </c>
      <c r="D101" s="19" t="str">
        <f aca="false">IF(B101="","",IFERROR(INDEX(品項與安全庫存!$J$5:$J$104,MATCH(B101,品項與安全庫存!$A$5:$A$104,0)),""))</f>
        <v/>
      </c>
      <c r="E101" s="18"/>
      <c r="F101" s="26" t="str">
        <f aca="false">IF(OR(E101="",D101=""),"",E101-D101)</f>
        <v/>
      </c>
      <c r="G101" s="27"/>
      <c r="H101" s="27"/>
    </row>
    <row r="102" customFormat="false" ht="15" hidden="false" customHeight="false" outlineLevel="0" collapsed="false">
      <c r="A102" s="25"/>
      <c r="B102" s="14"/>
      <c r="C102" s="20" t="str">
        <f aca="false">IF(B102="","",IFERROR(INDEX(品項與安全庫存!$C$5:$C$104,MATCH(B102,品項與安全庫存!$A$5:$A$104,0)),""))</f>
        <v/>
      </c>
      <c r="D102" s="19" t="str">
        <f aca="false">IF(B102="","",IFERROR(INDEX(品項與安全庫存!$J$5:$J$104,MATCH(B102,品項與安全庫存!$A$5:$A$104,0)),""))</f>
        <v/>
      </c>
      <c r="E102" s="18"/>
      <c r="F102" s="26" t="str">
        <f aca="false">IF(OR(E102="",D102=""),"",E102-D102)</f>
        <v/>
      </c>
      <c r="G102" s="27"/>
      <c r="H102" s="27"/>
    </row>
    <row r="103" customFormat="false" ht="15" hidden="false" customHeight="false" outlineLevel="0" collapsed="false">
      <c r="A103" s="25"/>
      <c r="B103" s="14"/>
      <c r="C103" s="20" t="str">
        <f aca="false">IF(B103="","",IFERROR(INDEX(品項與安全庫存!$C$5:$C$104,MATCH(B103,品項與安全庫存!$A$5:$A$104,0)),""))</f>
        <v/>
      </c>
      <c r="D103" s="19" t="str">
        <f aca="false">IF(B103="","",IFERROR(INDEX(品項與安全庫存!$J$5:$J$104,MATCH(B103,品項與安全庫存!$A$5:$A$104,0)),""))</f>
        <v/>
      </c>
      <c r="E103" s="18"/>
      <c r="F103" s="26" t="str">
        <f aca="false">IF(OR(E103="",D103=""),"",E103-D103)</f>
        <v/>
      </c>
      <c r="G103" s="27"/>
      <c r="H103" s="27"/>
    </row>
    <row r="104" customFormat="false" ht="15" hidden="false" customHeight="false" outlineLevel="0" collapsed="false">
      <c r="A104" s="25"/>
      <c r="B104" s="14"/>
      <c r="C104" s="20" t="str">
        <f aca="false">IF(B104="","",IFERROR(INDEX(品項與安全庫存!$C$5:$C$104,MATCH(B104,品項與安全庫存!$A$5:$A$104,0)),""))</f>
        <v/>
      </c>
      <c r="D104" s="19" t="str">
        <f aca="false">IF(B104="","",IFERROR(INDEX(品項與安全庫存!$J$5:$J$104,MATCH(B104,品項與安全庫存!$A$5:$A$104,0)),""))</f>
        <v/>
      </c>
      <c r="E104" s="18"/>
      <c r="F104" s="26" t="str">
        <f aca="false">IF(OR(E104="",D104=""),"",E104-D104)</f>
        <v/>
      </c>
      <c r="G104" s="27"/>
      <c r="H104" s="27"/>
    </row>
    <row r="105" customFormat="false" ht="15" hidden="false" customHeight="false" outlineLevel="0" collapsed="false">
      <c r="A105" s="25"/>
      <c r="B105" s="14"/>
      <c r="C105" s="20" t="str">
        <f aca="false">IF(B105="","",IFERROR(INDEX(品項與安全庫存!$C$5:$C$104,MATCH(B105,品項與安全庫存!$A$5:$A$104,0)),""))</f>
        <v/>
      </c>
      <c r="D105" s="19" t="str">
        <f aca="false">IF(B105="","",IFERROR(INDEX(品項與安全庫存!$J$5:$J$104,MATCH(B105,品項與安全庫存!$A$5:$A$104,0)),""))</f>
        <v/>
      </c>
      <c r="E105" s="18"/>
      <c r="F105" s="26" t="str">
        <f aca="false">IF(OR(E105="",D105=""),"",E105-D105)</f>
        <v/>
      </c>
      <c r="G105" s="27"/>
      <c r="H105" s="27"/>
    </row>
    <row r="106" customFormat="false" ht="15" hidden="false" customHeight="false" outlineLevel="0" collapsed="false">
      <c r="A106" s="25"/>
      <c r="B106" s="14"/>
      <c r="C106" s="20" t="str">
        <f aca="false">IF(B106="","",IFERROR(INDEX(品項與安全庫存!$C$5:$C$104,MATCH(B106,品項與安全庫存!$A$5:$A$104,0)),""))</f>
        <v/>
      </c>
      <c r="D106" s="19" t="str">
        <f aca="false">IF(B106="","",IFERROR(INDEX(品項與安全庫存!$J$5:$J$104,MATCH(B106,品項與安全庫存!$A$5:$A$104,0)),""))</f>
        <v/>
      </c>
      <c r="E106" s="18"/>
      <c r="F106" s="26" t="str">
        <f aca="false">IF(OR(E106="",D106=""),"",E106-D106)</f>
        <v/>
      </c>
      <c r="G106" s="27"/>
      <c r="H106" s="27"/>
    </row>
    <row r="107" customFormat="false" ht="15" hidden="false" customHeight="false" outlineLevel="0" collapsed="false">
      <c r="A107" s="25"/>
      <c r="B107" s="14"/>
      <c r="C107" s="20" t="str">
        <f aca="false">IF(B107="","",IFERROR(INDEX(品項與安全庫存!$C$5:$C$104,MATCH(B107,品項與安全庫存!$A$5:$A$104,0)),""))</f>
        <v/>
      </c>
      <c r="D107" s="19" t="str">
        <f aca="false">IF(B107="","",IFERROR(INDEX(品項與安全庫存!$J$5:$J$104,MATCH(B107,品項與安全庫存!$A$5:$A$104,0)),""))</f>
        <v/>
      </c>
      <c r="E107" s="18"/>
      <c r="F107" s="26" t="str">
        <f aca="false">IF(OR(E107="",D107=""),"",E107-D107)</f>
        <v/>
      </c>
      <c r="G107" s="27"/>
      <c r="H107" s="27"/>
    </row>
    <row r="108" customFormat="false" ht="15" hidden="false" customHeight="false" outlineLevel="0" collapsed="false">
      <c r="A108" s="25"/>
      <c r="B108" s="14"/>
      <c r="C108" s="20" t="str">
        <f aca="false">IF(B108="","",IFERROR(INDEX(品項與安全庫存!$C$5:$C$104,MATCH(B108,品項與安全庫存!$A$5:$A$104,0)),""))</f>
        <v/>
      </c>
      <c r="D108" s="19" t="str">
        <f aca="false">IF(B108="","",IFERROR(INDEX(品項與安全庫存!$J$5:$J$104,MATCH(B108,品項與安全庫存!$A$5:$A$104,0)),""))</f>
        <v/>
      </c>
      <c r="E108" s="18"/>
      <c r="F108" s="26" t="str">
        <f aca="false">IF(OR(E108="",D108=""),"",E108-D108)</f>
        <v/>
      </c>
      <c r="G108" s="27"/>
      <c r="H108" s="27"/>
    </row>
    <row r="109" customFormat="false" ht="15" hidden="false" customHeight="false" outlineLevel="0" collapsed="false">
      <c r="A109" s="25"/>
      <c r="B109" s="14"/>
      <c r="C109" s="20" t="str">
        <f aca="false">IF(B109="","",IFERROR(INDEX(品項與安全庫存!$C$5:$C$104,MATCH(B109,品項與安全庫存!$A$5:$A$104,0)),""))</f>
        <v/>
      </c>
      <c r="D109" s="19" t="str">
        <f aca="false">IF(B109="","",IFERROR(INDEX(品項與安全庫存!$J$5:$J$104,MATCH(B109,品項與安全庫存!$A$5:$A$104,0)),""))</f>
        <v/>
      </c>
      <c r="E109" s="18"/>
      <c r="F109" s="26" t="str">
        <f aca="false">IF(OR(E109="",D109=""),"",E109-D109)</f>
        <v/>
      </c>
      <c r="G109" s="27"/>
      <c r="H109" s="27"/>
    </row>
    <row r="110" customFormat="false" ht="15" hidden="false" customHeight="false" outlineLevel="0" collapsed="false">
      <c r="A110" s="25"/>
      <c r="B110" s="14"/>
      <c r="C110" s="20" t="str">
        <f aca="false">IF(B110="","",IFERROR(INDEX(品項與安全庫存!$C$5:$C$104,MATCH(B110,品項與安全庫存!$A$5:$A$104,0)),""))</f>
        <v/>
      </c>
      <c r="D110" s="19" t="str">
        <f aca="false">IF(B110="","",IFERROR(INDEX(品項與安全庫存!$J$5:$J$104,MATCH(B110,品項與安全庫存!$A$5:$A$104,0)),""))</f>
        <v/>
      </c>
      <c r="E110" s="18"/>
      <c r="F110" s="26" t="str">
        <f aca="false">IF(OR(E110="",D110=""),"",E110-D110)</f>
        <v/>
      </c>
      <c r="G110" s="27"/>
      <c r="H110" s="27"/>
    </row>
    <row r="111" customFormat="false" ht="15" hidden="false" customHeight="false" outlineLevel="0" collapsed="false">
      <c r="A111" s="25"/>
      <c r="B111" s="14"/>
      <c r="C111" s="20" t="str">
        <f aca="false">IF(B111="","",IFERROR(INDEX(品項與安全庫存!$C$5:$C$104,MATCH(B111,品項與安全庫存!$A$5:$A$104,0)),""))</f>
        <v/>
      </c>
      <c r="D111" s="19" t="str">
        <f aca="false">IF(B111="","",IFERROR(INDEX(品項與安全庫存!$J$5:$J$104,MATCH(B111,品項與安全庫存!$A$5:$A$104,0)),""))</f>
        <v/>
      </c>
      <c r="E111" s="18"/>
      <c r="F111" s="26" t="str">
        <f aca="false">IF(OR(E111="",D111=""),"",E111-D111)</f>
        <v/>
      </c>
      <c r="G111" s="27"/>
      <c r="H111" s="27"/>
    </row>
    <row r="112" customFormat="false" ht="15" hidden="false" customHeight="false" outlineLevel="0" collapsed="false">
      <c r="A112" s="25"/>
      <c r="B112" s="14"/>
      <c r="C112" s="20" t="str">
        <f aca="false">IF(B112="","",IFERROR(INDEX(品項與安全庫存!$C$5:$C$104,MATCH(B112,品項與安全庫存!$A$5:$A$104,0)),""))</f>
        <v/>
      </c>
      <c r="D112" s="19" t="str">
        <f aca="false">IF(B112="","",IFERROR(INDEX(品項與安全庫存!$J$5:$J$104,MATCH(B112,品項與安全庫存!$A$5:$A$104,0)),""))</f>
        <v/>
      </c>
      <c r="E112" s="18"/>
      <c r="F112" s="26" t="str">
        <f aca="false">IF(OR(E112="",D112=""),"",E112-D112)</f>
        <v/>
      </c>
      <c r="G112" s="27"/>
      <c r="H112" s="27"/>
    </row>
    <row r="113" customFormat="false" ht="15" hidden="false" customHeight="false" outlineLevel="0" collapsed="false">
      <c r="A113" s="25"/>
      <c r="B113" s="14"/>
      <c r="C113" s="20" t="str">
        <f aca="false">IF(B113="","",IFERROR(INDEX(品項與安全庫存!$C$5:$C$104,MATCH(B113,品項與安全庫存!$A$5:$A$104,0)),""))</f>
        <v/>
      </c>
      <c r="D113" s="19" t="str">
        <f aca="false">IF(B113="","",IFERROR(INDEX(品項與安全庫存!$J$5:$J$104,MATCH(B113,品項與安全庫存!$A$5:$A$104,0)),""))</f>
        <v/>
      </c>
      <c r="E113" s="18"/>
      <c r="F113" s="26" t="str">
        <f aca="false">IF(OR(E113="",D113=""),"",E113-D113)</f>
        <v/>
      </c>
      <c r="G113" s="27"/>
      <c r="H113" s="27"/>
    </row>
    <row r="114" customFormat="false" ht="15" hidden="false" customHeight="false" outlineLevel="0" collapsed="false">
      <c r="A114" s="25"/>
      <c r="B114" s="14"/>
      <c r="C114" s="20" t="str">
        <f aca="false">IF(B114="","",IFERROR(INDEX(品項與安全庫存!$C$5:$C$104,MATCH(B114,品項與安全庫存!$A$5:$A$104,0)),""))</f>
        <v/>
      </c>
      <c r="D114" s="19" t="str">
        <f aca="false">IF(B114="","",IFERROR(INDEX(品項與安全庫存!$J$5:$J$104,MATCH(B114,品項與安全庫存!$A$5:$A$104,0)),""))</f>
        <v/>
      </c>
      <c r="E114" s="18"/>
      <c r="F114" s="26" t="str">
        <f aca="false">IF(OR(E114="",D114=""),"",E114-D114)</f>
        <v/>
      </c>
      <c r="G114" s="27"/>
      <c r="H114" s="27"/>
    </row>
    <row r="115" customFormat="false" ht="15" hidden="false" customHeight="false" outlineLevel="0" collapsed="false">
      <c r="A115" s="25"/>
      <c r="B115" s="14"/>
      <c r="C115" s="20" t="str">
        <f aca="false">IF(B115="","",IFERROR(INDEX(品項與安全庫存!$C$5:$C$104,MATCH(B115,品項與安全庫存!$A$5:$A$104,0)),""))</f>
        <v/>
      </c>
      <c r="D115" s="19" t="str">
        <f aca="false">IF(B115="","",IFERROR(INDEX(品項與安全庫存!$J$5:$J$104,MATCH(B115,品項與安全庫存!$A$5:$A$104,0)),""))</f>
        <v/>
      </c>
      <c r="E115" s="18"/>
      <c r="F115" s="26" t="str">
        <f aca="false">IF(OR(E115="",D115=""),"",E115-D115)</f>
        <v/>
      </c>
      <c r="G115" s="27"/>
      <c r="H115" s="27"/>
    </row>
    <row r="116" customFormat="false" ht="15" hidden="false" customHeight="false" outlineLevel="0" collapsed="false">
      <c r="A116" s="25"/>
      <c r="B116" s="14"/>
      <c r="C116" s="20" t="str">
        <f aca="false">IF(B116="","",IFERROR(INDEX(品項與安全庫存!$C$5:$C$104,MATCH(B116,品項與安全庫存!$A$5:$A$104,0)),""))</f>
        <v/>
      </c>
      <c r="D116" s="19" t="str">
        <f aca="false">IF(B116="","",IFERROR(INDEX(品項與安全庫存!$J$5:$J$104,MATCH(B116,品項與安全庫存!$A$5:$A$104,0)),""))</f>
        <v/>
      </c>
      <c r="E116" s="18"/>
      <c r="F116" s="26" t="str">
        <f aca="false">IF(OR(E116="",D116=""),"",E116-D116)</f>
        <v/>
      </c>
      <c r="G116" s="27"/>
      <c r="H116" s="27"/>
    </row>
    <row r="117" customFormat="false" ht="15" hidden="false" customHeight="false" outlineLevel="0" collapsed="false">
      <c r="A117" s="25"/>
      <c r="B117" s="14"/>
      <c r="C117" s="20" t="str">
        <f aca="false">IF(B117="","",IFERROR(INDEX(品項與安全庫存!$C$5:$C$104,MATCH(B117,品項與安全庫存!$A$5:$A$104,0)),""))</f>
        <v/>
      </c>
      <c r="D117" s="19" t="str">
        <f aca="false">IF(B117="","",IFERROR(INDEX(品項與安全庫存!$J$5:$J$104,MATCH(B117,品項與安全庫存!$A$5:$A$104,0)),""))</f>
        <v/>
      </c>
      <c r="E117" s="18"/>
      <c r="F117" s="26" t="str">
        <f aca="false">IF(OR(E117="",D117=""),"",E117-D117)</f>
        <v/>
      </c>
      <c r="G117" s="27"/>
      <c r="H117" s="27"/>
    </row>
    <row r="118" customFormat="false" ht="15" hidden="false" customHeight="false" outlineLevel="0" collapsed="false">
      <c r="A118" s="25"/>
      <c r="B118" s="14"/>
      <c r="C118" s="20" t="str">
        <f aca="false">IF(B118="","",IFERROR(INDEX(品項與安全庫存!$C$5:$C$104,MATCH(B118,品項與安全庫存!$A$5:$A$104,0)),""))</f>
        <v/>
      </c>
      <c r="D118" s="19" t="str">
        <f aca="false">IF(B118="","",IFERROR(INDEX(品項與安全庫存!$J$5:$J$104,MATCH(B118,品項與安全庫存!$A$5:$A$104,0)),""))</f>
        <v/>
      </c>
      <c r="E118" s="18"/>
      <c r="F118" s="26" t="str">
        <f aca="false">IF(OR(E118="",D118=""),"",E118-D118)</f>
        <v/>
      </c>
      <c r="G118" s="27"/>
      <c r="H118" s="27"/>
    </row>
    <row r="119" customFormat="false" ht="15" hidden="false" customHeight="false" outlineLevel="0" collapsed="false">
      <c r="A119" s="25"/>
      <c r="B119" s="14"/>
      <c r="C119" s="20" t="str">
        <f aca="false">IF(B119="","",IFERROR(INDEX(品項與安全庫存!$C$5:$C$104,MATCH(B119,品項與安全庫存!$A$5:$A$104,0)),""))</f>
        <v/>
      </c>
      <c r="D119" s="19" t="str">
        <f aca="false">IF(B119="","",IFERROR(INDEX(品項與安全庫存!$J$5:$J$104,MATCH(B119,品項與安全庫存!$A$5:$A$104,0)),""))</f>
        <v/>
      </c>
      <c r="E119" s="18"/>
      <c r="F119" s="26" t="str">
        <f aca="false">IF(OR(E119="",D119=""),"",E119-D119)</f>
        <v/>
      </c>
      <c r="G119" s="27"/>
      <c r="H119" s="27"/>
    </row>
    <row r="120" customFormat="false" ht="15" hidden="false" customHeight="false" outlineLevel="0" collapsed="false">
      <c r="A120" s="25"/>
      <c r="B120" s="14"/>
      <c r="C120" s="20" t="str">
        <f aca="false">IF(B120="","",IFERROR(INDEX(品項與安全庫存!$C$5:$C$104,MATCH(B120,品項與安全庫存!$A$5:$A$104,0)),""))</f>
        <v/>
      </c>
      <c r="D120" s="19" t="str">
        <f aca="false">IF(B120="","",IFERROR(INDEX(品項與安全庫存!$J$5:$J$104,MATCH(B120,品項與安全庫存!$A$5:$A$104,0)),""))</f>
        <v/>
      </c>
      <c r="E120" s="18"/>
      <c r="F120" s="26" t="str">
        <f aca="false">IF(OR(E120="",D120=""),"",E120-D120)</f>
        <v/>
      </c>
      <c r="G120" s="27"/>
      <c r="H120" s="27"/>
    </row>
    <row r="121" customFormat="false" ht="15" hidden="false" customHeight="false" outlineLevel="0" collapsed="false">
      <c r="A121" s="25"/>
      <c r="B121" s="14"/>
      <c r="C121" s="20" t="str">
        <f aca="false">IF(B121="","",IFERROR(INDEX(品項與安全庫存!$C$5:$C$104,MATCH(B121,品項與安全庫存!$A$5:$A$104,0)),""))</f>
        <v/>
      </c>
      <c r="D121" s="19" t="str">
        <f aca="false">IF(B121="","",IFERROR(INDEX(品項與安全庫存!$J$5:$J$104,MATCH(B121,品項與安全庫存!$A$5:$A$104,0)),""))</f>
        <v/>
      </c>
      <c r="E121" s="18"/>
      <c r="F121" s="26" t="str">
        <f aca="false">IF(OR(E121="",D121=""),"",E121-D121)</f>
        <v/>
      </c>
      <c r="G121" s="27"/>
      <c r="H121" s="27"/>
    </row>
    <row r="122" customFormat="false" ht="15" hidden="false" customHeight="false" outlineLevel="0" collapsed="false">
      <c r="A122" s="25"/>
      <c r="B122" s="14"/>
      <c r="C122" s="20" t="str">
        <f aca="false">IF(B122="","",IFERROR(INDEX(品項與安全庫存!$C$5:$C$104,MATCH(B122,品項與安全庫存!$A$5:$A$104,0)),""))</f>
        <v/>
      </c>
      <c r="D122" s="19" t="str">
        <f aca="false">IF(B122="","",IFERROR(INDEX(品項與安全庫存!$J$5:$J$104,MATCH(B122,品項與安全庫存!$A$5:$A$104,0)),""))</f>
        <v/>
      </c>
      <c r="E122" s="18"/>
      <c r="F122" s="26" t="str">
        <f aca="false">IF(OR(E122="",D122=""),"",E122-D122)</f>
        <v/>
      </c>
      <c r="G122" s="27"/>
      <c r="H122" s="27"/>
    </row>
    <row r="123" customFormat="false" ht="15" hidden="false" customHeight="false" outlineLevel="0" collapsed="false">
      <c r="A123" s="25"/>
      <c r="B123" s="14"/>
      <c r="C123" s="20" t="str">
        <f aca="false">IF(B123="","",IFERROR(INDEX(品項與安全庫存!$C$5:$C$104,MATCH(B123,品項與安全庫存!$A$5:$A$104,0)),""))</f>
        <v/>
      </c>
      <c r="D123" s="19" t="str">
        <f aca="false">IF(B123="","",IFERROR(INDEX(品項與安全庫存!$J$5:$J$104,MATCH(B123,品項與安全庫存!$A$5:$A$104,0)),""))</f>
        <v/>
      </c>
      <c r="E123" s="18"/>
      <c r="F123" s="26" t="str">
        <f aca="false">IF(OR(E123="",D123=""),"",E123-D123)</f>
        <v/>
      </c>
      <c r="G123" s="27"/>
      <c r="H123" s="27"/>
    </row>
    <row r="124" customFormat="false" ht="15" hidden="false" customHeight="false" outlineLevel="0" collapsed="false">
      <c r="A124" s="25"/>
      <c r="B124" s="14"/>
      <c r="C124" s="20" t="str">
        <f aca="false">IF(B124="","",IFERROR(INDEX(品項與安全庫存!$C$5:$C$104,MATCH(B124,品項與安全庫存!$A$5:$A$104,0)),""))</f>
        <v/>
      </c>
      <c r="D124" s="19" t="str">
        <f aca="false">IF(B124="","",IFERROR(INDEX(品項與安全庫存!$J$5:$J$104,MATCH(B124,品項與安全庫存!$A$5:$A$104,0)),""))</f>
        <v/>
      </c>
      <c r="E124" s="18"/>
      <c r="F124" s="26" t="str">
        <f aca="false">IF(OR(E124="",D124=""),"",E124-D124)</f>
        <v/>
      </c>
      <c r="G124" s="27"/>
      <c r="H124" s="27"/>
    </row>
    <row r="125" customFormat="false" ht="15" hidden="false" customHeight="false" outlineLevel="0" collapsed="false">
      <c r="A125" s="25"/>
      <c r="B125" s="14"/>
      <c r="C125" s="20" t="str">
        <f aca="false">IF(B125="","",IFERROR(INDEX(品項與安全庫存!$C$5:$C$104,MATCH(B125,品項與安全庫存!$A$5:$A$104,0)),""))</f>
        <v/>
      </c>
      <c r="D125" s="19" t="str">
        <f aca="false">IF(B125="","",IFERROR(INDEX(品項與安全庫存!$J$5:$J$104,MATCH(B125,品項與安全庫存!$A$5:$A$104,0)),""))</f>
        <v/>
      </c>
      <c r="E125" s="18"/>
      <c r="F125" s="26" t="str">
        <f aca="false">IF(OR(E125="",D125=""),"",E125-D125)</f>
        <v/>
      </c>
      <c r="G125" s="27"/>
      <c r="H125" s="27"/>
    </row>
    <row r="126" customFormat="false" ht="15" hidden="false" customHeight="false" outlineLevel="0" collapsed="false">
      <c r="A126" s="25"/>
      <c r="B126" s="14"/>
      <c r="C126" s="20" t="str">
        <f aca="false">IF(B126="","",IFERROR(INDEX(品項與安全庫存!$C$5:$C$104,MATCH(B126,品項與安全庫存!$A$5:$A$104,0)),""))</f>
        <v/>
      </c>
      <c r="D126" s="19" t="str">
        <f aca="false">IF(B126="","",IFERROR(INDEX(品項與安全庫存!$J$5:$J$104,MATCH(B126,品項與安全庫存!$A$5:$A$104,0)),""))</f>
        <v/>
      </c>
      <c r="E126" s="18"/>
      <c r="F126" s="26" t="str">
        <f aca="false">IF(OR(E126="",D126=""),"",E126-D126)</f>
        <v/>
      </c>
      <c r="G126" s="27"/>
      <c r="H126" s="27"/>
    </row>
    <row r="127" customFormat="false" ht="15" hidden="false" customHeight="false" outlineLevel="0" collapsed="false">
      <c r="A127" s="25"/>
      <c r="B127" s="14"/>
      <c r="C127" s="20" t="str">
        <f aca="false">IF(B127="","",IFERROR(INDEX(品項與安全庫存!$C$5:$C$104,MATCH(B127,品項與安全庫存!$A$5:$A$104,0)),""))</f>
        <v/>
      </c>
      <c r="D127" s="19" t="str">
        <f aca="false">IF(B127="","",IFERROR(INDEX(品項與安全庫存!$J$5:$J$104,MATCH(B127,品項與安全庫存!$A$5:$A$104,0)),""))</f>
        <v/>
      </c>
      <c r="E127" s="18"/>
      <c r="F127" s="26" t="str">
        <f aca="false">IF(OR(E127="",D127=""),"",E127-D127)</f>
        <v/>
      </c>
      <c r="G127" s="27"/>
      <c r="H127" s="27"/>
    </row>
    <row r="128" customFormat="false" ht="15" hidden="false" customHeight="false" outlineLevel="0" collapsed="false">
      <c r="A128" s="25"/>
      <c r="B128" s="14"/>
      <c r="C128" s="20" t="str">
        <f aca="false">IF(B128="","",IFERROR(INDEX(品項與安全庫存!$C$5:$C$104,MATCH(B128,品項與安全庫存!$A$5:$A$104,0)),""))</f>
        <v/>
      </c>
      <c r="D128" s="19" t="str">
        <f aca="false">IF(B128="","",IFERROR(INDEX(品項與安全庫存!$J$5:$J$104,MATCH(B128,品項與安全庫存!$A$5:$A$104,0)),""))</f>
        <v/>
      </c>
      <c r="E128" s="18"/>
      <c r="F128" s="26" t="str">
        <f aca="false">IF(OR(E128="",D128=""),"",E128-D128)</f>
        <v/>
      </c>
      <c r="G128" s="27"/>
      <c r="H128" s="27"/>
    </row>
    <row r="129" customFormat="false" ht="15" hidden="false" customHeight="false" outlineLevel="0" collapsed="false">
      <c r="A129" s="25"/>
      <c r="B129" s="14"/>
      <c r="C129" s="20" t="str">
        <f aca="false">IF(B129="","",IFERROR(INDEX(品項與安全庫存!$C$5:$C$104,MATCH(B129,品項與安全庫存!$A$5:$A$104,0)),""))</f>
        <v/>
      </c>
      <c r="D129" s="19" t="str">
        <f aca="false">IF(B129="","",IFERROR(INDEX(品項與安全庫存!$J$5:$J$104,MATCH(B129,品項與安全庫存!$A$5:$A$104,0)),""))</f>
        <v/>
      </c>
      <c r="E129" s="18"/>
      <c r="F129" s="26" t="str">
        <f aca="false">IF(OR(E129="",D129=""),"",E129-D129)</f>
        <v/>
      </c>
      <c r="G129" s="27"/>
      <c r="H129" s="27"/>
    </row>
    <row r="130" customFormat="false" ht="15" hidden="false" customHeight="false" outlineLevel="0" collapsed="false">
      <c r="A130" s="25"/>
      <c r="B130" s="14"/>
      <c r="C130" s="20" t="str">
        <f aca="false">IF(B130="","",IFERROR(INDEX(品項與安全庫存!$C$5:$C$104,MATCH(B130,品項與安全庫存!$A$5:$A$104,0)),""))</f>
        <v/>
      </c>
      <c r="D130" s="19" t="str">
        <f aca="false">IF(B130="","",IFERROR(INDEX(品項與安全庫存!$J$5:$J$104,MATCH(B130,品項與安全庫存!$A$5:$A$104,0)),""))</f>
        <v/>
      </c>
      <c r="E130" s="18"/>
      <c r="F130" s="26" t="str">
        <f aca="false">IF(OR(E130="",D130=""),"",E130-D130)</f>
        <v/>
      </c>
      <c r="G130" s="27"/>
      <c r="H130" s="27"/>
    </row>
    <row r="131" customFormat="false" ht="15" hidden="false" customHeight="false" outlineLevel="0" collapsed="false">
      <c r="A131" s="25"/>
      <c r="B131" s="14"/>
      <c r="C131" s="20" t="str">
        <f aca="false">IF(B131="","",IFERROR(INDEX(品項與安全庫存!$C$5:$C$104,MATCH(B131,品項與安全庫存!$A$5:$A$104,0)),""))</f>
        <v/>
      </c>
      <c r="D131" s="19" t="str">
        <f aca="false">IF(B131="","",IFERROR(INDEX(品項與安全庫存!$J$5:$J$104,MATCH(B131,品項與安全庫存!$A$5:$A$104,0)),""))</f>
        <v/>
      </c>
      <c r="E131" s="18"/>
      <c r="F131" s="26" t="str">
        <f aca="false">IF(OR(E131="",D131=""),"",E131-D131)</f>
        <v/>
      </c>
      <c r="G131" s="27"/>
      <c r="H131" s="27"/>
    </row>
    <row r="132" customFormat="false" ht="15" hidden="false" customHeight="false" outlineLevel="0" collapsed="false">
      <c r="A132" s="25"/>
      <c r="B132" s="14"/>
      <c r="C132" s="20" t="str">
        <f aca="false">IF(B132="","",IFERROR(INDEX(品項與安全庫存!$C$5:$C$104,MATCH(B132,品項與安全庫存!$A$5:$A$104,0)),""))</f>
        <v/>
      </c>
      <c r="D132" s="19" t="str">
        <f aca="false">IF(B132="","",IFERROR(INDEX(品項與安全庫存!$J$5:$J$104,MATCH(B132,品項與安全庫存!$A$5:$A$104,0)),""))</f>
        <v/>
      </c>
      <c r="E132" s="18"/>
      <c r="F132" s="26" t="str">
        <f aca="false">IF(OR(E132="",D132=""),"",E132-D132)</f>
        <v/>
      </c>
      <c r="G132" s="27"/>
      <c r="H132" s="27"/>
    </row>
    <row r="133" customFormat="false" ht="15" hidden="false" customHeight="false" outlineLevel="0" collapsed="false">
      <c r="A133" s="25"/>
      <c r="B133" s="14"/>
      <c r="C133" s="20" t="str">
        <f aca="false">IF(B133="","",IFERROR(INDEX(品項與安全庫存!$C$5:$C$104,MATCH(B133,品項與安全庫存!$A$5:$A$104,0)),""))</f>
        <v/>
      </c>
      <c r="D133" s="19" t="str">
        <f aca="false">IF(B133="","",IFERROR(INDEX(品項與安全庫存!$J$5:$J$104,MATCH(B133,品項與安全庫存!$A$5:$A$104,0)),""))</f>
        <v/>
      </c>
      <c r="E133" s="18"/>
      <c r="F133" s="26" t="str">
        <f aca="false">IF(OR(E133="",D133=""),"",E133-D133)</f>
        <v/>
      </c>
      <c r="G133" s="27"/>
      <c r="H133" s="27"/>
    </row>
    <row r="134" customFormat="false" ht="15" hidden="false" customHeight="false" outlineLevel="0" collapsed="false">
      <c r="A134" s="25"/>
      <c r="B134" s="14"/>
      <c r="C134" s="20" t="str">
        <f aca="false">IF(B134="","",IFERROR(INDEX(品項與安全庫存!$C$5:$C$104,MATCH(B134,品項與安全庫存!$A$5:$A$104,0)),""))</f>
        <v/>
      </c>
      <c r="D134" s="19" t="str">
        <f aca="false">IF(B134="","",IFERROR(INDEX(品項與安全庫存!$J$5:$J$104,MATCH(B134,品項與安全庫存!$A$5:$A$104,0)),""))</f>
        <v/>
      </c>
      <c r="E134" s="18"/>
      <c r="F134" s="26" t="str">
        <f aca="false">IF(OR(E134="",D134=""),"",E134-D134)</f>
        <v/>
      </c>
      <c r="G134" s="27"/>
      <c r="H134" s="27"/>
    </row>
    <row r="135" customFormat="false" ht="15" hidden="false" customHeight="false" outlineLevel="0" collapsed="false">
      <c r="A135" s="25"/>
      <c r="B135" s="14"/>
      <c r="C135" s="20" t="str">
        <f aca="false">IF(B135="","",IFERROR(INDEX(品項與安全庫存!$C$5:$C$104,MATCH(B135,品項與安全庫存!$A$5:$A$104,0)),""))</f>
        <v/>
      </c>
      <c r="D135" s="19" t="str">
        <f aca="false">IF(B135="","",IFERROR(INDEX(品項與安全庫存!$J$5:$J$104,MATCH(B135,品項與安全庫存!$A$5:$A$104,0)),""))</f>
        <v/>
      </c>
      <c r="E135" s="18"/>
      <c r="F135" s="26" t="str">
        <f aca="false">IF(OR(E135="",D135=""),"",E135-D135)</f>
        <v/>
      </c>
      <c r="G135" s="27"/>
      <c r="H135" s="27"/>
    </row>
    <row r="136" customFormat="false" ht="15" hidden="false" customHeight="false" outlineLevel="0" collapsed="false">
      <c r="A136" s="25"/>
      <c r="B136" s="14"/>
      <c r="C136" s="20" t="str">
        <f aca="false">IF(B136="","",IFERROR(INDEX(品項與安全庫存!$C$5:$C$104,MATCH(B136,品項與安全庫存!$A$5:$A$104,0)),""))</f>
        <v/>
      </c>
      <c r="D136" s="19" t="str">
        <f aca="false">IF(B136="","",IFERROR(INDEX(品項與安全庫存!$J$5:$J$104,MATCH(B136,品項與安全庫存!$A$5:$A$104,0)),""))</f>
        <v/>
      </c>
      <c r="E136" s="18"/>
      <c r="F136" s="26" t="str">
        <f aca="false">IF(OR(E136="",D136=""),"",E136-D136)</f>
        <v/>
      </c>
      <c r="G136" s="27"/>
      <c r="H136" s="27"/>
    </row>
    <row r="137" customFormat="false" ht="15" hidden="false" customHeight="false" outlineLevel="0" collapsed="false">
      <c r="A137" s="25"/>
      <c r="B137" s="14"/>
      <c r="C137" s="20" t="str">
        <f aca="false">IF(B137="","",IFERROR(INDEX(品項與安全庫存!$C$5:$C$104,MATCH(B137,品項與安全庫存!$A$5:$A$104,0)),""))</f>
        <v/>
      </c>
      <c r="D137" s="19" t="str">
        <f aca="false">IF(B137="","",IFERROR(INDEX(品項與安全庫存!$J$5:$J$104,MATCH(B137,品項與安全庫存!$A$5:$A$104,0)),""))</f>
        <v/>
      </c>
      <c r="E137" s="18"/>
      <c r="F137" s="26" t="str">
        <f aca="false">IF(OR(E137="",D137=""),"",E137-D137)</f>
        <v/>
      </c>
      <c r="G137" s="27"/>
      <c r="H137" s="27"/>
    </row>
    <row r="138" customFormat="false" ht="15" hidden="false" customHeight="false" outlineLevel="0" collapsed="false">
      <c r="A138" s="25"/>
      <c r="B138" s="14"/>
      <c r="C138" s="20" t="str">
        <f aca="false">IF(B138="","",IFERROR(INDEX(品項與安全庫存!$C$5:$C$104,MATCH(B138,品項與安全庫存!$A$5:$A$104,0)),""))</f>
        <v/>
      </c>
      <c r="D138" s="19" t="str">
        <f aca="false">IF(B138="","",IFERROR(INDEX(品項與安全庫存!$J$5:$J$104,MATCH(B138,品項與安全庫存!$A$5:$A$104,0)),""))</f>
        <v/>
      </c>
      <c r="E138" s="18"/>
      <c r="F138" s="26" t="str">
        <f aca="false">IF(OR(E138="",D138=""),"",E138-D138)</f>
        <v/>
      </c>
      <c r="G138" s="27"/>
      <c r="H138" s="27"/>
    </row>
    <row r="139" customFormat="false" ht="15" hidden="false" customHeight="false" outlineLevel="0" collapsed="false">
      <c r="A139" s="25"/>
      <c r="B139" s="14"/>
      <c r="C139" s="20" t="str">
        <f aca="false">IF(B139="","",IFERROR(INDEX(品項與安全庫存!$C$5:$C$104,MATCH(B139,品項與安全庫存!$A$5:$A$104,0)),""))</f>
        <v/>
      </c>
      <c r="D139" s="19" t="str">
        <f aca="false">IF(B139="","",IFERROR(INDEX(品項與安全庫存!$J$5:$J$104,MATCH(B139,品項與安全庫存!$A$5:$A$104,0)),""))</f>
        <v/>
      </c>
      <c r="E139" s="18"/>
      <c r="F139" s="26" t="str">
        <f aca="false">IF(OR(E139="",D139=""),"",E139-D139)</f>
        <v/>
      </c>
      <c r="G139" s="27"/>
      <c r="H139" s="27"/>
    </row>
    <row r="140" customFormat="false" ht="15" hidden="false" customHeight="false" outlineLevel="0" collapsed="false">
      <c r="A140" s="25"/>
      <c r="B140" s="14"/>
      <c r="C140" s="20" t="str">
        <f aca="false">IF(B140="","",IFERROR(INDEX(品項與安全庫存!$C$5:$C$104,MATCH(B140,品項與安全庫存!$A$5:$A$104,0)),""))</f>
        <v/>
      </c>
      <c r="D140" s="19" t="str">
        <f aca="false">IF(B140="","",IFERROR(INDEX(品項與安全庫存!$J$5:$J$104,MATCH(B140,品項與安全庫存!$A$5:$A$104,0)),""))</f>
        <v/>
      </c>
      <c r="E140" s="18"/>
      <c r="F140" s="26" t="str">
        <f aca="false">IF(OR(E140="",D140=""),"",E140-D140)</f>
        <v/>
      </c>
      <c r="G140" s="27"/>
      <c r="H140" s="27"/>
    </row>
    <row r="141" customFormat="false" ht="15" hidden="false" customHeight="false" outlineLevel="0" collapsed="false">
      <c r="A141" s="25"/>
      <c r="B141" s="14"/>
      <c r="C141" s="20" t="str">
        <f aca="false">IF(B141="","",IFERROR(INDEX(品項與安全庫存!$C$5:$C$104,MATCH(B141,品項與安全庫存!$A$5:$A$104,0)),""))</f>
        <v/>
      </c>
      <c r="D141" s="19" t="str">
        <f aca="false">IF(B141="","",IFERROR(INDEX(品項與安全庫存!$J$5:$J$104,MATCH(B141,品項與安全庫存!$A$5:$A$104,0)),""))</f>
        <v/>
      </c>
      <c r="E141" s="18"/>
      <c r="F141" s="26" t="str">
        <f aca="false">IF(OR(E141="",D141=""),"",E141-D141)</f>
        <v/>
      </c>
      <c r="G141" s="27"/>
      <c r="H141" s="27"/>
    </row>
    <row r="142" customFormat="false" ht="15" hidden="false" customHeight="false" outlineLevel="0" collapsed="false">
      <c r="A142" s="25"/>
      <c r="B142" s="14"/>
      <c r="C142" s="20" t="str">
        <f aca="false">IF(B142="","",IFERROR(INDEX(品項與安全庫存!$C$5:$C$104,MATCH(B142,品項與安全庫存!$A$5:$A$104,0)),""))</f>
        <v/>
      </c>
      <c r="D142" s="19" t="str">
        <f aca="false">IF(B142="","",IFERROR(INDEX(品項與安全庫存!$J$5:$J$104,MATCH(B142,品項與安全庫存!$A$5:$A$104,0)),""))</f>
        <v/>
      </c>
      <c r="E142" s="18"/>
      <c r="F142" s="26" t="str">
        <f aca="false">IF(OR(E142="",D142=""),"",E142-D142)</f>
        <v/>
      </c>
      <c r="G142" s="27"/>
      <c r="H142" s="27"/>
    </row>
    <row r="143" customFormat="false" ht="15" hidden="false" customHeight="false" outlineLevel="0" collapsed="false">
      <c r="A143" s="25"/>
      <c r="B143" s="14"/>
      <c r="C143" s="20" t="str">
        <f aca="false">IF(B143="","",IFERROR(INDEX(品項與安全庫存!$C$5:$C$104,MATCH(B143,品項與安全庫存!$A$5:$A$104,0)),""))</f>
        <v/>
      </c>
      <c r="D143" s="19" t="str">
        <f aca="false">IF(B143="","",IFERROR(INDEX(品項與安全庫存!$J$5:$J$104,MATCH(B143,品項與安全庫存!$A$5:$A$104,0)),""))</f>
        <v/>
      </c>
      <c r="E143" s="18"/>
      <c r="F143" s="26" t="str">
        <f aca="false">IF(OR(E143="",D143=""),"",E143-D143)</f>
        <v/>
      </c>
      <c r="G143" s="27"/>
      <c r="H143" s="27"/>
    </row>
    <row r="144" customFormat="false" ht="15" hidden="false" customHeight="false" outlineLevel="0" collapsed="false">
      <c r="A144" s="25"/>
      <c r="B144" s="14"/>
      <c r="C144" s="20" t="str">
        <f aca="false">IF(B144="","",IFERROR(INDEX(品項與安全庫存!$C$5:$C$104,MATCH(B144,品項與安全庫存!$A$5:$A$104,0)),""))</f>
        <v/>
      </c>
      <c r="D144" s="19" t="str">
        <f aca="false">IF(B144="","",IFERROR(INDEX(品項與安全庫存!$J$5:$J$104,MATCH(B144,品項與安全庫存!$A$5:$A$104,0)),""))</f>
        <v/>
      </c>
      <c r="E144" s="18"/>
      <c r="F144" s="26" t="str">
        <f aca="false">IF(OR(E144="",D144=""),"",E144-D144)</f>
        <v/>
      </c>
      <c r="G144" s="27"/>
      <c r="H144" s="27"/>
    </row>
    <row r="145" customFormat="false" ht="15" hidden="false" customHeight="false" outlineLevel="0" collapsed="false">
      <c r="A145" s="25"/>
      <c r="B145" s="14"/>
      <c r="C145" s="20" t="str">
        <f aca="false">IF(B145="","",IFERROR(INDEX(品項與安全庫存!$C$5:$C$104,MATCH(B145,品項與安全庫存!$A$5:$A$104,0)),""))</f>
        <v/>
      </c>
      <c r="D145" s="19" t="str">
        <f aca="false">IF(B145="","",IFERROR(INDEX(品項與安全庫存!$J$5:$J$104,MATCH(B145,品項與安全庫存!$A$5:$A$104,0)),""))</f>
        <v/>
      </c>
      <c r="E145" s="18"/>
      <c r="F145" s="26" t="str">
        <f aca="false">IF(OR(E145="",D145=""),"",E145-D145)</f>
        <v/>
      </c>
      <c r="G145" s="27"/>
      <c r="H145" s="27"/>
    </row>
    <row r="146" customFormat="false" ht="15" hidden="false" customHeight="false" outlineLevel="0" collapsed="false">
      <c r="A146" s="25"/>
      <c r="B146" s="14"/>
      <c r="C146" s="20" t="str">
        <f aca="false">IF(B146="","",IFERROR(INDEX(品項與安全庫存!$C$5:$C$104,MATCH(B146,品項與安全庫存!$A$5:$A$104,0)),""))</f>
        <v/>
      </c>
      <c r="D146" s="19" t="str">
        <f aca="false">IF(B146="","",IFERROR(INDEX(品項與安全庫存!$J$5:$J$104,MATCH(B146,品項與安全庫存!$A$5:$A$104,0)),""))</f>
        <v/>
      </c>
      <c r="E146" s="18"/>
      <c r="F146" s="26" t="str">
        <f aca="false">IF(OR(E146="",D146=""),"",E146-D146)</f>
        <v/>
      </c>
      <c r="G146" s="27"/>
      <c r="H146" s="27"/>
    </row>
    <row r="147" customFormat="false" ht="15" hidden="false" customHeight="false" outlineLevel="0" collapsed="false">
      <c r="A147" s="25"/>
      <c r="B147" s="14"/>
      <c r="C147" s="20" t="str">
        <f aca="false">IF(B147="","",IFERROR(INDEX(品項與安全庫存!$C$5:$C$104,MATCH(B147,品項與安全庫存!$A$5:$A$104,0)),""))</f>
        <v/>
      </c>
      <c r="D147" s="19" t="str">
        <f aca="false">IF(B147="","",IFERROR(INDEX(品項與安全庫存!$J$5:$J$104,MATCH(B147,品項與安全庫存!$A$5:$A$104,0)),""))</f>
        <v/>
      </c>
      <c r="E147" s="18"/>
      <c r="F147" s="26" t="str">
        <f aca="false">IF(OR(E147="",D147=""),"",E147-D147)</f>
        <v/>
      </c>
      <c r="G147" s="27"/>
      <c r="H147" s="27"/>
    </row>
    <row r="148" customFormat="false" ht="15" hidden="false" customHeight="false" outlineLevel="0" collapsed="false">
      <c r="A148" s="25"/>
      <c r="B148" s="14"/>
      <c r="C148" s="20" t="str">
        <f aca="false">IF(B148="","",IFERROR(INDEX(品項與安全庫存!$C$5:$C$104,MATCH(B148,品項與安全庫存!$A$5:$A$104,0)),""))</f>
        <v/>
      </c>
      <c r="D148" s="19" t="str">
        <f aca="false">IF(B148="","",IFERROR(INDEX(品項與安全庫存!$J$5:$J$104,MATCH(B148,品項與安全庫存!$A$5:$A$104,0)),""))</f>
        <v/>
      </c>
      <c r="E148" s="18"/>
      <c r="F148" s="26" t="str">
        <f aca="false">IF(OR(E148="",D148=""),"",E148-D148)</f>
        <v/>
      </c>
      <c r="G148" s="27"/>
      <c r="H148" s="27"/>
    </row>
    <row r="149" customFormat="false" ht="15" hidden="false" customHeight="false" outlineLevel="0" collapsed="false">
      <c r="A149" s="25"/>
      <c r="B149" s="14"/>
      <c r="C149" s="20" t="str">
        <f aca="false">IF(B149="","",IFERROR(INDEX(品項與安全庫存!$C$5:$C$104,MATCH(B149,品項與安全庫存!$A$5:$A$104,0)),""))</f>
        <v/>
      </c>
      <c r="D149" s="19" t="str">
        <f aca="false">IF(B149="","",IFERROR(INDEX(品項與安全庫存!$J$5:$J$104,MATCH(B149,品項與安全庫存!$A$5:$A$104,0)),""))</f>
        <v/>
      </c>
      <c r="E149" s="18"/>
      <c r="F149" s="26" t="str">
        <f aca="false">IF(OR(E149="",D149=""),"",E149-D149)</f>
        <v/>
      </c>
      <c r="G149" s="27"/>
      <c r="H149" s="27"/>
    </row>
    <row r="150" customFormat="false" ht="15" hidden="false" customHeight="false" outlineLevel="0" collapsed="false">
      <c r="A150" s="25"/>
      <c r="B150" s="14"/>
      <c r="C150" s="20" t="str">
        <f aca="false">IF(B150="","",IFERROR(INDEX(品項與安全庫存!$C$5:$C$104,MATCH(B150,品項與安全庫存!$A$5:$A$104,0)),""))</f>
        <v/>
      </c>
      <c r="D150" s="19" t="str">
        <f aca="false">IF(B150="","",IFERROR(INDEX(品項與安全庫存!$J$5:$J$104,MATCH(B150,品項與安全庫存!$A$5:$A$104,0)),""))</f>
        <v/>
      </c>
      <c r="E150" s="18"/>
      <c r="F150" s="26" t="str">
        <f aca="false">IF(OR(E150="",D150=""),"",E150-D150)</f>
        <v/>
      </c>
      <c r="G150" s="27"/>
      <c r="H150" s="27"/>
    </row>
    <row r="151" customFormat="false" ht="15" hidden="false" customHeight="false" outlineLevel="0" collapsed="false">
      <c r="A151" s="25"/>
      <c r="B151" s="14"/>
      <c r="C151" s="20" t="str">
        <f aca="false">IF(B151="","",IFERROR(INDEX(品項與安全庫存!$C$5:$C$104,MATCH(B151,品項與安全庫存!$A$5:$A$104,0)),""))</f>
        <v/>
      </c>
      <c r="D151" s="19" t="str">
        <f aca="false">IF(B151="","",IFERROR(INDEX(品項與安全庫存!$J$5:$J$104,MATCH(B151,品項與安全庫存!$A$5:$A$104,0)),""))</f>
        <v/>
      </c>
      <c r="E151" s="18"/>
      <c r="F151" s="26" t="str">
        <f aca="false">IF(OR(E151="",D151=""),"",E151-D151)</f>
        <v/>
      </c>
      <c r="G151" s="27"/>
      <c r="H151" s="27"/>
    </row>
    <row r="152" customFormat="false" ht="15" hidden="false" customHeight="false" outlineLevel="0" collapsed="false">
      <c r="A152" s="25"/>
      <c r="B152" s="14"/>
      <c r="C152" s="20" t="str">
        <f aca="false">IF(B152="","",IFERROR(INDEX(品項與安全庫存!$C$5:$C$104,MATCH(B152,品項與安全庫存!$A$5:$A$104,0)),""))</f>
        <v/>
      </c>
      <c r="D152" s="19" t="str">
        <f aca="false">IF(B152="","",IFERROR(INDEX(品項與安全庫存!$J$5:$J$104,MATCH(B152,品項與安全庫存!$A$5:$A$104,0)),""))</f>
        <v/>
      </c>
      <c r="E152" s="18"/>
      <c r="F152" s="26" t="str">
        <f aca="false">IF(OR(E152="",D152=""),"",E152-D152)</f>
        <v/>
      </c>
      <c r="G152" s="27"/>
      <c r="H152" s="27"/>
    </row>
    <row r="153" customFormat="false" ht="15" hidden="false" customHeight="false" outlineLevel="0" collapsed="false">
      <c r="A153" s="25"/>
      <c r="B153" s="14"/>
      <c r="C153" s="20" t="str">
        <f aca="false">IF(B153="","",IFERROR(INDEX(品項與安全庫存!$C$5:$C$104,MATCH(B153,品項與安全庫存!$A$5:$A$104,0)),""))</f>
        <v/>
      </c>
      <c r="D153" s="19" t="str">
        <f aca="false">IF(B153="","",IFERROR(INDEX(品項與安全庫存!$J$5:$J$104,MATCH(B153,品項與安全庫存!$A$5:$A$104,0)),""))</f>
        <v/>
      </c>
      <c r="E153" s="18"/>
      <c r="F153" s="26" t="str">
        <f aca="false">IF(OR(E153="",D153=""),"",E153-D153)</f>
        <v/>
      </c>
      <c r="G153" s="27"/>
      <c r="H153" s="27"/>
    </row>
    <row r="154" customFormat="false" ht="15" hidden="false" customHeight="false" outlineLevel="0" collapsed="false">
      <c r="A154" s="25"/>
      <c r="B154" s="14"/>
      <c r="C154" s="20" t="str">
        <f aca="false">IF(B154="","",IFERROR(INDEX(品項與安全庫存!$C$5:$C$104,MATCH(B154,品項與安全庫存!$A$5:$A$104,0)),""))</f>
        <v/>
      </c>
      <c r="D154" s="19" t="str">
        <f aca="false">IF(B154="","",IFERROR(INDEX(品項與安全庫存!$J$5:$J$104,MATCH(B154,品項與安全庫存!$A$5:$A$104,0)),""))</f>
        <v/>
      </c>
      <c r="E154" s="18"/>
      <c r="F154" s="26" t="str">
        <f aca="false">IF(OR(E154="",D154=""),"",E154-D154)</f>
        <v/>
      </c>
      <c r="G154" s="27"/>
      <c r="H154" s="27"/>
    </row>
    <row r="155" customFormat="false" ht="15" hidden="false" customHeight="false" outlineLevel="0" collapsed="false">
      <c r="A155" s="25"/>
      <c r="B155" s="14"/>
      <c r="C155" s="20" t="str">
        <f aca="false">IF(B155="","",IFERROR(INDEX(品項與安全庫存!$C$5:$C$104,MATCH(B155,品項與安全庫存!$A$5:$A$104,0)),""))</f>
        <v/>
      </c>
      <c r="D155" s="19" t="str">
        <f aca="false">IF(B155="","",IFERROR(INDEX(品項與安全庫存!$J$5:$J$104,MATCH(B155,品項與安全庫存!$A$5:$A$104,0)),""))</f>
        <v/>
      </c>
      <c r="E155" s="18"/>
      <c r="F155" s="26" t="str">
        <f aca="false">IF(OR(E155="",D155=""),"",E155-D155)</f>
        <v/>
      </c>
      <c r="G155" s="27"/>
      <c r="H155" s="27"/>
    </row>
    <row r="156" customFormat="false" ht="15" hidden="false" customHeight="false" outlineLevel="0" collapsed="false">
      <c r="A156" s="25"/>
      <c r="B156" s="14"/>
      <c r="C156" s="20" t="str">
        <f aca="false">IF(B156="","",IFERROR(INDEX(品項與安全庫存!$C$5:$C$104,MATCH(B156,品項與安全庫存!$A$5:$A$104,0)),""))</f>
        <v/>
      </c>
      <c r="D156" s="19" t="str">
        <f aca="false">IF(B156="","",IFERROR(INDEX(品項與安全庫存!$J$5:$J$104,MATCH(B156,品項與安全庫存!$A$5:$A$104,0)),""))</f>
        <v/>
      </c>
      <c r="E156" s="18"/>
      <c r="F156" s="26" t="str">
        <f aca="false">IF(OR(E156="",D156=""),"",E156-D156)</f>
        <v/>
      </c>
      <c r="G156" s="27"/>
      <c r="H156" s="27"/>
    </row>
    <row r="157" customFormat="false" ht="15" hidden="false" customHeight="false" outlineLevel="0" collapsed="false">
      <c r="A157" s="25"/>
      <c r="B157" s="14"/>
      <c r="C157" s="20" t="str">
        <f aca="false">IF(B157="","",IFERROR(INDEX(品項與安全庫存!$C$5:$C$104,MATCH(B157,品項與安全庫存!$A$5:$A$104,0)),""))</f>
        <v/>
      </c>
      <c r="D157" s="19" t="str">
        <f aca="false">IF(B157="","",IFERROR(INDEX(品項與安全庫存!$J$5:$J$104,MATCH(B157,品項與安全庫存!$A$5:$A$104,0)),""))</f>
        <v/>
      </c>
      <c r="E157" s="18"/>
      <c r="F157" s="26" t="str">
        <f aca="false">IF(OR(E157="",D157=""),"",E157-D157)</f>
        <v/>
      </c>
      <c r="G157" s="27"/>
      <c r="H157" s="27"/>
    </row>
    <row r="158" customFormat="false" ht="15" hidden="false" customHeight="false" outlineLevel="0" collapsed="false">
      <c r="A158" s="25"/>
      <c r="B158" s="14"/>
      <c r="C158" s="20" t="str">
        <f aca="false">IF(B158="","",IFERROR(INDEX(品項與安全庫存!$C$5:$C$104,MATCH(B158,品項與安全庫存!$A$5:$A$104,0)),""))</f>
        <v/>
      </c>
      <c r="D158" s="19" t="str">
        <f aca="false">IF(B158="","",IFERROR(INDEX(品項與安全庫存!$J$5:$J$104,MATCH(B158,品項與安全庫存!$A$5:$A$104,0)),""))</f>
        <v/>
      </c>
      <c r="E158" s="18"/>
      <c r="F158" s="26" t="str">
        <f aca="false">IF(OR(E158="",D158=""),"",E158-D158)</f>
        <v/>
      </c>
      <c r="G158" s="27"/>
      <c r="H158" s="27"/>
    </row>
    <row r="159" customFormat="false" ht="15" hidden="false" customHeight="false" outlineLevel="0" collapsed="false">
      <c r="A159" s="25"/>
      <c r="B159" s="14"/>
      <c r="C159" s="20" t="str">
        <f aca="false">IF(B159="","",IFERROR(INDEX(品項與安全庫存!$C$5:$C$104,MATCH(B159,品項與安全庫存!$A$5:$A$104,0)),""))</f>
        <v/>
      </c>
      <c r="D159" s="19" t="str">
        <f aca="false">IF(B159="","",IFERROR(INDEX(品項與安全庫存!$J$5:$J$104,MATCH(B159,品項與安全庫存!$A$5:$A$104,0)),""))</f>
        <v/>
      </c>
      <c r="E159" s="18"/>
      <c r="F159" s="26" t="str">
        <f aca="false">IF(OR(E159="",D159=""),"",E159-D159)</f>
        <v/>
      </c>
      <c r="G159" s="27"/>
      <c r="H159" s="27"/>
    </row>
    <row r="160" customFormat="false" ht="15" hidden="false" customHeight="false" outlineLevel="0" collapsed="false">
      <c r="A160" s="25"/>
      <c r="B160" s="14"/>
      <c r="C160" s="20" t="str">
        <f aca="false">IF(B160="","",IFERROR(INDEX(品項與安全庫存!$C$5:$C$104,MATCH(B160,品項與安全庫存!$A$5:$A$104,0)),""))</f>
        <v/>
      </c>
      <c r="D160" s="19" t="str">
        <f aca="false">IF(B160="","",IFERROR(INDEX(品項與安全庫存!$J$5:$J$104,MATCH(B160,品項與安全庫存!$A$5:$A$104,0)),""))</f>
        <v/>
      </c>
      <c r="E160" s="18"/>
      <c r="F160" s="26" t="str">
        <f aca="false">IF(OR(E160="",D160=""),"",E160-D160)</f>
        <v/>
      </c>
      <c r="G160" s="27"/>
      <c r="H160" s="27"/>
    </row>
    <row r="161" customFormat="false" ht="15" hidden="false" customHeight="false" outlineLevel="0" collapsed="false">
      <c r="A161" s="25"/>
      <c r="B161" s="14"/>
      <c r="C161" s="20" t="str">
        <f aca="false">IF(B161="","",IFERROR(INDEX(品項與安全庫存!$C$5:$C$104,MATCH(B161,品項與安全庫存!$A$5:$A$104,0)),""))</f>
        <v/>
      </c>
      <c r="D161" s="19" t="str">
        <f aca="false">IF(B161="","",IFERROR(INDEX(品項與安全庫存!$J$5:$J$104,MATCH(B161,品項與安全庫存!$A$5:$A$104,0)),""))</f>
        <v/>
      </c>
      <c r="E161" s="18"/>
      <c r="F161" s="26" t="str">
        <f aca="false">IF(OR(E161="",D161=""),"",E161-D161)</f>
        <v/>
      </c>
      <c r="G161" s="27"/>
      <c r="H161" s="27"/>
    </row>
    <row r="162" customFormat="false" ht="15" hidden="false" customHeight="false" outlineLevel="0" collapsed="false">
      <c r="A162" s="25"/>
      <c r="B162" s="14"/>
      <c r="C162" s="20" t="str">
        <f aca="false">IF(B162="","",IFERROR(INDEX(品項與安全庫存!$C$5:$C$104,MATCH(B162,品項與安全庫存!$A$5:$A$104,0)),""))</f>
        <v/>
      </c>
      <c r="D162" s="19" t="str">
        <f aca="false">IF(B162="","",IFERROR(INDEX(品項與安全庫存!$J$5:$J$104,MATCH(B162,品項與安全庫存!$A$5:$A$104,0)),""))</f>
        <v/>
      </c>
      <c r="E162" s="18"/>
      <c r="F162" s="26" t="str">
        <f aca="false">IF(OR(E162="",D162=""),"",E162-D162)</f>
        <v/>
      </c>
      <c r="G162" s="27"/>
      <c r="H162" s="27"/>
    </row>
    <row r="163" customFormat="false" ht="15" hidden="false" customHeight="false" outlineLevel="0" collapsed="false">
      <c r="A163" s="25"/>
      <c r="B163" s="14"/>
      <c r="C163" s="20" t="str">
        <f aca="false">IF(B163="","",IFERROR(INDEX(品項與安全庫存!$C$5:$C$104,MATCH(B163,品項與安全庫存!$A$5:$A$104,0)),""))</f>
        <v/>
      </c>
      <c r="D163" s="19" t="str">
        <f aca="false">IF(B163="","",IFERROR(INDEX(品項與安全庫存!$J$5:$J$104,MATCH(B163,品項與安全庫存!$A$5:$A$104,0)),""))</f>
        <v/>
      </c>
      <c r="E163" s="18"/>
      <c r="F163" s="26" t="str">
        <f aca="false">IF(OR(E163="",D163=""),"",E163-D163)</f>
        <v/>
      </c>
      <c r="G163" s="27"/>
      <c r="H163" s="27"/>
    </row>
    <row r="164" customFormat="false" ht="15" hidden="false" customHeight="false" outlineLevel="0" collapsed="false">
      <c r="A164" s="25"/>
      <c r="B164" s="14"/>
      <c r="C164" s="20" t="str">
        <f aca="false">IF(B164="","",IFERROR(INDEX(品項與安全庫存!$C$5:$C$104,MATCH(B164,品項與安全庫存!$A$5:$A$104,0)),""))</f>
        <v/>
      </c>
      <c r="D164" s="19" t="str">
        <f aca="false">IF(B164="","",IFERROR(INDEX(品項與安全庫存!$J$5:$J$104,MATCH(B164,品項與安全庫存!$A$5:$A$104,0)),""))</f>
        <v/>
      </c>
      <c r="E164" s="18"/>
      <c r="F164" s="26" t="str">
        <f aca="false">IF(OR(E164="",D164=""),"",E164-D164)</f>
        <v/>
      </c>
      <c r="G164" s="27"/>
      <c r="H164" s="27"/>
    </row>
    <row r="165" customFormat="false" ht="15" hidden="false" customHeight="false" outlineLevel="0" collapsed="false">
      <c r="A165" s="25"/>
      <c r="B165" s="14"/>
      <c r="C165" s="20" t="str">
        <f aca="false">IF(B165="","",IFERROR(INDEX(品項與安全庫存!$C$5:$C$104,MATCH(B165,品項與安全庫存!$A$5:$A$104,0)),""))</f>
        <v/>
      </c>
      <c r="D165" s="19" t="str">
        <f aca="false">IF(B165="","",IFERROR(INDEX(品項與安全庫存!$J$5:$J$104,MATCH(B165,品項與安全庫存!$A$5:$A$104,0)),""))</f>
        <v/>
      </c>
      <c r="E165" s="18"/>
      <c r="F165" s="26" t="str">
        <f aca="false">IF(OR(E165="",D165=""),"",E165-D165)</f>
        <v/>
      </c>
      <c r="G165" s="27"/>
      <c r="H165" s="27"/>
    </row>
    <row r="166" customFormat="false" ht="15" hidden="false" customHeight="false" outlineLevel="0" collapsed="false">
      <c r="A166" s="25"/>
      <c r="B166" s="14"/>
      <c r="C166" s="20" t="str">
        <f aca="false">IF(B166="","",IFERROR(INDEX(品項與安全庫存!$C$5:$C$104,MATCH(B166,品項與安全庫存!$A$5:$A$104,0)),""))</f>
        <v/>
      </c>
      <c r="D166" s="19" t="str">
        <f aca="false">IF(B166="","",IFERROR(INDEX(品項與安全庫存!$J$5:$J$104,MATCH(B166,品項與安全庫存!$A$5:$A$104,0)),""))</f>
        <v/>
      </c>
      <c r="E166" s="18"/>
      <c r="F166" s="26" t="str">
        <f aca="false">IF(OR(E166="",D166=""),"",E166-D166)</f>
        <v/>
      </c>
      <c r="G166" s="27"/>
      <c r="H166" s="27"/>
    </row>
    <row r="167" customFormat="false" ht="15" hidden="false" customHeight="false" outlineLevel="0" collapsed="false">
      <c r="A167" s="25"/>
      <c r="B167" s="14"/>
      <c r="C167" s="20" t="str">
        <f aca="false">IF(B167="","",IFERROR(INDEX(品項與安全庫存!$C$5:$C$104,MATCH(B167,品項與安全庫存!$A$5:$A$104,0)),""))</f>
        <v/>
      </c>
      <c r="D167" s="19" t="str">
        <f aca="false">IF(B167="","",IFERROR(INDEX(品項與安全庫存!$J$5:$J$104,MATCH(B167,品項與安全庫存!$A$5:$A$104,0)),""))</f>
        <v/>
      </c>
      <c r="E167" s="18"/>
      <c r="F167" s="26" t="str">
        <f aca="false">IF(OR(E167="",D167=""),"",E167-D167)</f>
        <v/>
      </c>
      <c r="G167" s="27"/>
      <c r="H167" s="27"/>
    </row>
    <row r="168" customFormat="false" ht="15" hidden="false" customHeight="false" outlineLevel="0" collapsed="false">
      <c r="A168" s="25"/>
      <c r="B168" s="14"/>
      <c r="C168" s="20" t="str">
        <f aca="false">IF(B168="","",IFERROR(INDEX(品項與安全庫存!$C$5:$C$104,MATCH(B168,品項與安全庫存!$A$5:$A$104,0)),""))</f>
        <v/>
      </c>
      <c r="D168" s="19" t="str">
        <f aca="false">IF(B168="","",IFERROR(INDEX(品項與安全庫存!$J$5:$J$104,MATCH(B168,品項與安全庫存!$A$5:$A$104,0)),""))</f>
        <v/>
      </c>
      <c r="E168" s="18"/>
      <c r="F168" s="26" t="str">
        <f aca="false">IF(OR(E168="",D168=""),"",E168-D168)</f>
        <v/>
      </c>
      <c r="G168" s="27"/>
      <c r="H168" s="27"/>
    </row>
    <row r="169" customFormat="false" ht="15" hidden="false" customHeight="false" outlineLevel="0" collapsed="false">
      <c r="A169" s="25"/>
      <c r="B169" s="14"/>
      <c r="C169" s="20" t="str">
        <f aca="false">IF(B169="","",IFERROR(INDEX(品項與安全庫存!$C$5:$C$104,MATCH(B169,品項與安全庫存!$A$5:$A$104,0)),""))</f>
        <v/>
      </c>
      <c r="D169" s="19" t="str">
        <f aca="false">IF(B169="","",IFERROR(INDEX(品項與安全庫存!$J$5:$J$104,MATCH(B169,品項與安全庫存!$A$5:$A$104,0)),""))</f>
        <v/>
      </c>
      <c r="E169" s="18"/>
      <c r="F169" s="26" t="str">
        <f aca="false">IF(OR(E169="",D169=""),"",E169-D169)</f>
        <v/>
      </c>
      <c r="G169" s="27"/>
      <c r="H169" s="27"/>
    </row>
    <row r="170" customFormat="false" ht="15" hidden="false" customHeight="false" outlineLevel="0" collapsed="false">
      <c r="A170" s="25"/>
      <c r="B170" s="14"/>
      <c r="C170" s="20" t="str">
        <f aca="false">IF(B170="","",IFERROR(INDEX(品項與安全庫存!$C$5:$C$104,MATCH(B170,品項與安全庫存!$A$5:$A$104,0)),""))</f>
        <v/>
      </c>
      <c r="D170" s="19" t="str">
        <f aca="false">IF(B170="","",IFERROR(INDEX(品項與安全庫存!$J$5:$J$104,MATCH(B170,品項與安全庫存!$A$5:$A$104,0)),""))</f>
        <v/>
      </c>
      <c r="E170" s="18"/>
      <c r="F170" s="26" t="str">
        <f aca="false">IF(OR(E170="",D170=""),"",E170-D170)</f>
        <v/>
      </c>
      <c r="G170" s="27"/>
      <c r="H170" s="27"/>
    </row>
    <row r="171" customFormat="false" ht="15" hidden="false" customHeight="false" outlineLevel="0" collapsed="false">
      <c r="A171" s="25"/>
      <c r="B171" s="14"/>
      <c r="C171" s="20" t="str">
        <f aca="false">IF(B171="","",IFERROR(INDEX(品項與安全庫存!$C$5:$C$104,MATCH(B171,品項與安全庫存!$A$5:$A$104,0)),""))</f>
        <v/>
      </c>
      <c r="D171" s="19" t="str">
        <f aca="false">IF(B171="","",IFERROR(INDEX(品項與安全庫存!$J$5:$J$104,MATCH(B171,品項與安全庫存!$A$5:$A$104,0)),""))</f>
        <v/>
      </c>
      <c r="E171" s="18"/>
      <c r="F171" s="26" t="str">
        <f aca="false">IF(OR(E171="",D171=""),"",E171-D171)</f>
        <v/>
      </c>
      <c r="G171" s="27"/>
      <c r="H171" s="27"/>
    </row>
    <row r="172" customFormat="false" ht="15" hidden="false" customHeight="false" outlineLevel="0" collapsed="false">
      <c r="A172" s="25"/>
      <c r="B172" s="14"/>
      <c r="C172" s="20" t="str">
        <f aca="false">IF(B172="","",IFERROR(INDEX(品項與安全庫存!$C$5:$C$104,MATCH(B172,品項與安全庫存!$A$5:$A$104,0)),""))</f>
        <v/>
      </c>
      <c r="D172" s="19" t="str">
        <f aca="false">IF(B172="","",IFERROR(INDEX(品項與安全庫存!$J$5:$J$104,MATCH(B172,品項與安全庫存!$A$5:$A$104,0)),""))</f>
        <v/>
      </c>
      <c r="E172" s="18"/>
      <c r="F172" s="26" t="str">
        <f aca="false">IF(OR(E172="",D172=""),"",E172-D172)</f>
        <v/>
      </c>
      <c r="G172" s="27"/>
      <c r="H172" s="27"/>
    </row>
    <row r="173" customFormat="false" ht="15" hidden="false" customHeight="false" outlineLevel="0" collapsed="false">
      <c r="A173" s="25"/>
      <c r="B173" s="14"/>
      <c r="C173" s="20" t="str">
        <f aca="false">IF(B173="","",IFERROR(INDEX(品項與安全庫存!$C$5:$C$104,MATCH(B173,品項與安全庫存!$A$5:$A$104,0)),""))</f>
        <v/>
      </c>
      <c r="D173" s="19" t="str">
        <f aca="false">IF(B173="","",IFERROR(INDEX(品項與安全庫存!$J$5:$J$104,MATCH(B173,品項與安全庫存!$A$5:$A$104,0)),""))</f>
        <v/>
      </c>
      <c r="E173" s="18"/>
      <c r="F173" s="26" t="str">
        <f aca="false">IF(OR(E173="",D173=""),"",E173-D173)</f>
        <v/>
      </c>
      <c r="G173" s="27"/>
      <c r="H173" s="27"/>
    </row>
    <row r="174" customFormat="false" ht="15" hidden="false" customHeight="false" outlineLevel="0" collapsed="false">
      <c r="A174" s="25"/>
      <c r="B174" s="14"/>
      <c r="C174" s="20" t="str">
        <f aca="false">IF(B174="","",IFERROR(INDEX(品項與安全庫存!$C$5:$C$104,MATCH(B174,品項與安全庫存!$A$5:$A$104,0)),""))</f>
        <v/>
      </c>
      <c r="D174" s="19" t="str">
        <f aca="false">IF(B174="","",IFERROR(INDEX(品項與安全庫存!$J$5:$J$104,MATCH(B174,品項與安全庫存!$A$5:$A$104,0)),""))</f>
        <v/>
      </c>
      <c r="E174" s="18"/>
      <c r="F174" s="26" t="str">
        <f aca="false">IF(OR(E174="",D174=""),"",E174-D174)</f>
        <v/>
      </c>
      <c r="G174" s="27"/>
      <c r="H174" s="27"/>
    </row>
    <row r="175" customFormat="false" ht="15" hidden="false" customHeight="false" outlineLevel="0" collapsed="false">
      <c r="A175" s="25"/>
      <c r="B175" s="14"/>
      <c r="C175" s="20" t="str">
        <f aca="false">IF(B175="","",IFERROR(INDEX(品項與安全庫存!$C$5:$C$104,MATCH(B175,品項與安全庫存!$A$5:$A$104,0)),""))</f>
        <v/>
      </c>
      <c r="D175" s="19" t="str">
        <f aca="false">IF(B175="","",IFERROR(INDEX(品項與安全庫存!$J$5:$J$104,MATCH(B175,品項與安全庫存!$A$5:$A$104,0)),""))</f>
        <v/>
      </c>
      <c r="E175" s="18"/>
      <c r="F175" s="26" t="str">
        <f aca="false">IF(OR(E175="",D175=""),"",E175-D175)</f>
        <v/>
      </c>
      <c r="G175" s="27"/>
      <c r="H175" s="27"/>
    </row>
    <row r="176" customFormat="false" ht="15" hidden="false" customHeight="false" outlineLevel="0" collapsed="false">
      <c r="A176" s="25"/>
      <c r="B176" s="14"/>
      <c r="C176" s="20" t="str">
        <f aca="false">IF(B176="","",IFERROR(INDEX(品項與安全庫存!$C$5:$C$104,MATCH(B176,品項與安全庫存!$A$5:$A$104,0)),""))</f>
        <v/>
      </c>
      <c r="D176" s="19" t="str">
        <f aca="false">IF(B176="","",IFERROR(INDEX(品項與安全庫存!$J$5:$J$104,MATCH(B176,品項與安全庫存!$A$5:$A$104,0)),""))</f>
        <v/>
      </c>
      <c r="E176" s="18"/>
      <c r="F176" s="26" t="str">
        <f aca="false">IF(OR(E176="",D176=""),"",E176-D176)</f>
        <v/>
      </c>
      <c r="G176" s="27"/>
      <c r="H176" s="27"/>
    </row>
    <row r="177" customFormat="false" ht="15" hidden="false" customHeight="false" outlineLevel="0" collapsed="false">
      <c r="A177" s="25"/>
      <c r="B177" s="14"/>
      <c r="C177" s="20" t="str">
        <f aca="false">IF(B177="","",IFERROR(INDEX(品項與安全庫存!$C$5:$C$104,MATCH(B177,品項與安全庫存!$A$5:$A$104,0)),""))</f>
        <v/>
      </c>
      <c r="D177" s="19" t="str">
        <f aca="false">IF(B177="","",IFERROR(INDEX(品項與安全庫存!$J$5:$J$104,MATCH(B177,品項與安全庫存!$A$5:$A$104,0)),""))</f>
        <v/>
      </c>
      <c r="E177" s="18"/>
      <c r="F177" s="26" t="str">
        <f aca="false">IF(OR(E177="",D177=""),"",E177-D177)</f>
        <v/>
      </c>
      <c r="G177" s="27"/>
      <c r="H177" s="27"/>
    </row>
    <row r="178" customFormat="false" ht="15" hidden="false" customHeight="false" outlineLevel="0" collapsed="false">
      <c r="A178" s="25"/>
      <c r="B178" s="14"/>
      <c r="C178" s="20" t="str">
        <f aca="false">IF(B178="","",IFERROR(INDEX(品項與安全庫存!$C$5:$C$104,MATCH(B178,品項與安全庫存!$A$5:$A$104,0)),""))</f>
        <v/>
      </c>
      <c r="D178" s="19" t="str">
        <f aca="false">IF(B178="","",IFERROR(INDEX(品項與安全庫存!$J$5:$J$104,MATCH(B178,品項與安全庫存!$A$5:$A$104,0)),""))</f>
        <v/>
      </c>
      <c r="E178" s="18"/>
      <c r="F178" s="26" t="str">
        <f aca="false">IF(OR(E178="",D178=""),"",E178-D178)</f>
        <v/>
      </c>
      <c r="G178" s="27"/>
      <c r="H178" s="27"/>
    </row>
    <row r="179" customFormat="false" ht="15" hidden="false" customHeight="false" outlineLevel="0" collapsed="false">
      <c r="A179" s="25"/>
      <c r="B179" s="14"/>
      <c r="C179" s="20" t="str">
        <f aca="false">IF(B179="","",IFERROR(INDEX(品項與安全庫存!$C$5:$C$104,MATCH(B179,品項與安全庫存!$A$5:$A$104,0)),""))</f>
        <v/>
      </c>
      <c r="D179" s="19" t="str">
        <f aca="false">IF(B179="","",IFERROR(INDEX(品項與安全庫存!$J$5:$J$104,MATCH(B179,品項與安全庫存!$A$5:$A$104,0)),""))</f>
        <v/>
      </c>
      <c r="E179" s="18"/>
      <c r="F179" s="26" t="str">
        <f aca="false">IF(OR(E179="",D179=""),"",E179-D179)</f>
        <v/>
      </c>
      <c r="G179" s="27"/>
      <c r="H179" s="27"/>
    </row>
    <row r="180" customFormat="false" ht="15" hidden="false" customHeight="false" outlineLevel="0" collapsed="false">
      <c r="A180" s="25"/>
      <c r="B180" s="14"/>
      <c r="C180" s="20" t="str">
        <f aca="false">IF(B180="","",IFERROR(INDEX(品項與安全庫存!$C$5:$C$104,MATCH(B180,品項與安全庫存!$A$5:$A$104,0)),""))</f>
        <v/>
      </c>
      <c r="D180" s="19" t="str">
        <f aca="false">IF(B180="","",IFERROR(INDEX(品項與安全庫存!$J$5:$J$104,MATCH(B180,品項與安全庫存!$A$5:$A$104,0)),""))</f>
        <v/>
      </c>
      <c r="E180" s="18"/>
      <c r="F180" s="26" t="str">
        <f aca="false">IF(OR(E180="",D180=""),"",E180-D180)</f>
        <v/>
      </c>
      <c r="G180" s="27"/>
      <c r="H180" s="27"/>
    </row>
    <row r="181" customFormat="false" ht="15" hidden="false" customHeight="false" outlineLevel="0" collapsed="false">
      <c r="A181" s="25"/>
      <c r="B181" s="14"/>
      <c r="C181" s="20" t="str">
        <f aca="false">IF(B181="","",IFERROR(INDEX(品項與安全庫存!$C$5:$C$104,MATCH(B181,品項與安全庫存!$A$5:$A$104,0)),""))</f>
        <v/>
      </c>
      <c r="D181" s="19" t="str">
        <f aca="false">IF(B181="","",IFERROR(INDEX(品項與安全庫存!$J$5:$J$104,MATCH(B181,品項與安全庫存!$A$5:$A$104,0)),""))</f>
        <v/>
      </c>
      <c r="E181" s="18"/>
      <c r="F181" s="26" t="str">
        <f aca="false">IF(OR(E181="",D181=""),"",E181-D181)</f>
        <v/>
      </c>
      <c r="G181" s="27"/>
      <c r="H181" s="27"/>
    </row>
    <row r="182" customFormat="false" ht="15" hidden="false" customHeight="false" outlineLevel="0" collapsed="false">
      <c r="A182" s="25"/>
      <c r="B182" s="14"/>
      <c r="C182" s="20" t="str">
        <f aca="false">IF(B182="","",IFERROR(INDEX(品項與安全庫存!$C$5:$C$104,MATCH(B182,品項與安全庫存!$A$5:$A$104,0)),""))</f>
        <v/>
      </c>
      <c r="D182" s="19" t="str">
        <f aca="false">IF(B182="","",IFERROR(INDEX(品項與安全庫存!$J$5:$J$104,MATCH(B182,品項與安全庫存!$A$5:$A$104,0)),""))</f>
        <v/>
      </c>
      <c r="E182" s="18"/>
      <c r="F182" s="26" t="str">
        <f aca="false">IF(OR(E182="",D182=""),"",E182-D182)</f>
        <v/>
      </c>
      <c r="G182" s="27"/>
      <c r="H182" s="27"/>
    </row>
    <row r="183" customFormat="false" ht="15" hidden="false" customHeight="false" outlineLevel="0" collapsed="false">
      <c r="A183" s="25"/>
      <c r="B183" s="14"/>
      <c r="C183" s="20" t="str">
        <f aca="false">IF(B183="","",IFERROR(INDEX(品項與安全庫存!$C$5:$C$104,MATCH(B183,品項與安全庫存!$A$5:$A$104,0)),""))</f>
        <v/>
      </c>
      <c r="D183" s="19" t="str">
        <f aca="false">IF(B183="","",IFERROR(INDEX(品項與安全庫存!$J$5:$J$104,MATCH(B183,品項與安全庫存!$A$5:$A$104,0)),""))</f>
        <v/>
      </c>
      <c r="E183" s="18"/>
      <c r="F183" s="26" t="str">
        <f aca="false">IF(OR(E183="",D183=""),"",E183-D183)</f>
        <v/>
      </c>
      <c r="G183" s="27"/>
      <c r="H183" s="27"/>
    </row>
    <row r="184" customFormat="false" ht="15" hidden="false" customHeight="false" outlineLevel="0" collapsed="false">
      <c r="A184" s="25"/>
      <c r="B184" s="14"/>
      <c r="C184" s="20" t="str">
        <f aca="false">IF(B184="","",IFERROR(INDEX(品項與安全庫存!$C$5:$C$104,MATCH(B184,品項與安全庫存!$A$5:$A$104,0)),""))</f>
        <v/>
      </c>
      <c r="D184" s="19" t="str">
        <f aca="false">IF(B184="","",IFERROR(INDEX(品項與安全庫存!$J$5:$J$104,MATCH(B184,品項與安全庫存!$A$5:$A$104,0)),""))</f>
        <v/>
      </c>
      <c r="E184" s="18"/>
      <c r="F184" s="26" t="str">
        <f aca="false">IF(OR(E184="",D184=""),"",E184-D184)</f>
        <v/>
      </c>
      <c r="G184" s="27"/>
      <c r="H184" s="27"/>
    </row>
    <row r="185" customFormat="false" ht="15" hidden="false" customHeight="false" outlineLevel="0" collapsed="false">
      <c r="A185" s="25"/>
      <c r="B185" s="14"/>
      <c r="C185" s="20" t="str">
        <f aca="false">IF(B185="","",IFERROR(INDEX(品項與安全庫存!$C$5:$C$104,MATCH(B185,品項與安全庫存!$A$5:$A$104,0)),""))</f>
        <v/>
      </c>
      <c r="D185" s="19" t="str">
        <f aca="false">IF(B185="","",IFERROR(INDEX(品項與安全庫存!$J$5:$J$104,MATCH(B185,品項與安全庫存!$A$5:$A$104,0)),""))</f>
        <v/>
      </c>
      <c r="E185" s="18"/>
      <c r="F185" s="26" t="str">
        <f aca="false">IF(OR(E185="",D185=""),"",E185-D185)</f>
        <v/>
      </c>
      <c r="G185" s="27"/>
      <c r="H185" s="27"/>
    </row>
    <row r="186" customFormat="false" ht="15" hidden="false" customHeight="false" outlineLevel="0" collapsed="false">
      <c r="A186" s="25"/>
      <c r="B186" s="14"/>
      <c r="C186" s="20" t="str">
        <f aca="false">IF(B186="","",IFERROR(INDEX(品項與安全庫存!$C$5:$C$104,MATCH(B186,品項與安全庫存!$A$5:$A$104,0)),""))</f>
        <v/>
      </c>
      <c r="D186" s="19" t="str">
        <f aca="false">IF(B186="","",IFERROR(INDEX(品項與安全庫存!$J$5:$J$104,MATCH(B186,品項與安全庫存!$A$5:$A$104,0)),""))</f>
        <v/>
      </c>
      <c r="E186" s="18"/>
      <c r="F186" s="26" t="str">
        <f aca="false">IF(OR(E186="",D186=""),"",E186-D186)</f>
        <v/>
      </c>
      <c r="G186" s="27"/>
      <c r="H186" s="27"/>
    </row>
    <row r="187" customFormat="false" ht="15" hidden="false" customHeight="false" outlineLevel="0" collapsed="false">
      <c r="A187" s="25"/>
      <c r="B187" s="14"/>
      <c r="C187" s="20" t="str">
        <f aca="false">IF(B187="","",IFERROR(INDEX(品項與安全庫存!$C$5:$C$104,MATCH(B187,品項與安全庫存!$A$5:$A$104,0)),""))</f>
        <v/>
      </c>
      <c r="D187" s="19" t="str">
        <f aca="false">IF(B187="","",IFERROR(INDEX(品項與安全庫存!$J$5:$J$104,MATCH(B187,品項與安全庫存!$A$5:$A$104,0)),""))</f>
        <v/>
      </c>
      <c r="E187" s="18"/>
      <c r="F187" s="26" t="str">
        <f aca="false">IF(OR(E187="",D187=""),"",E187-D187)</f>
        <v/>
      </c>
      <c r="G187" s="27"/>
      <c r="H187" s="27"/>
    </row>
    <row r="188" customFormat="false" ht="15" hidden="false" customHeight="false" outlineLevel="0" collapsed="false">
      <c r="A188" s="25"/>
      <c r="B188" s="14"/>
      <c r="C188" s="20" t="str">
        <f aca="false">IF(B188="","",IFERROR(INDEX(品項與安全庫存!$C$5:$C$104,MATCH(B188,品項與安全庫存!$A$5:$A$104,0)),""))</f>
        <v/>
      </c>
      <c r="D188" s="19" t="str">
        <f aca="false">IF(B188="","",IFERROR(INDEX(品項與安全庫存!$J$5:$J$104,MATCH(B188,品項與安全庫存!$A$5:$A$104,0)),""))</f>
        <v/>
      </c>
      <c r="E188" s="18"/>
      <c r="F188" s="26" t="str">
        <f aca="false">IF(OR(E188="",D188=""),"",E188-D188)</f>
        <v/>
      </c>
      <c r="G188" s="27"/>
      <c r="H188" s="27"/>
    </row>
    <row r="189" customFormat="false" ht="15" hidden="false" customHeight="false" outlineLevel="0" collapsed="false">
      <c r="A189" s="25"/>
      <c r="B189" s="14"/>
      <c r="C189" s="20" t="str">
        <f aca="false">IF(B189="","",IFERROR(INDEX(品項與安全庫存!$C$5:$C$104,MATCH(B189,品項與安全庫存!$A$5:$A$104,0)),""))</f>
        <v/>
      </c>
      <c r="D189" s="19" t="str">
        <f aca="false">IF(B189="","",IFERROR(INDEX(品項與安全庫存!$J$5:$J$104,MATCH(B189,品項與安全庫存!$A$5:$A$104,0)),""))</f>
        <v/>
      </c>
      <c r="E189" s="18"/>
      <c r="F189" s="26" t="str">
        <f aca="false">IF(OR(E189="",D189=""),"",E189-D189)</f>
        <v/>
      </c>
      <c r="G189" s="27"/>
      <c r="H189" s="27"/>
    </row>
    <row r="190" customFormat="false" ht="15" hidden="false" customHeight="false" outlineLevel="0" collapsed="false">
      <c r="A190" s="25"/>
      <c r="B190" s="14"/>
      <c r="C190" s="20" t="str">
        <f aca="false">IF(B190="","",IFERROR(INDEX(品項與安全庫存!$C$5:$C$104,MATCH(B190,品項與安全庫存!$A$5:$A$104,0)),""))</f>
        <v/>
      </c>
      <c r="D190" s="19" t="str">
        <f aca="false">IF(B190="","",IFERROR(INDEX(品項與安全庫存!$J$5:$J$104,MATCH(B190,品項與安全庫存!$A$5:$A$104,0)),""))</f>
        <v/>
      </c>
      <c r="E190" s="18"/>
      <c r="F190" s="26" t="str">
        <f aca="false">IF(OR(E190="",D190=""),"",E190-D190)</f>
        <v/>
      </c>
      <c r="G190" s="27"/>
      <c r="H190" s="27"/>
    </row>
    <row r="191" customFormat="false" ht="15" hidden="false" customHeight="false" outlineLevel="0" collapsed="false">
      <c r="A191" s="25"/>
      <c r="B191" s="14"/>
      <c r="C191" s="20" t="str">
        <f aca="false">IF(B191="","",IFERROR(INDEX(品項與安全庫存!$C$5:$C$104,MATCH(B191,品項與安全庫存!$A$5:$A$104,0)),""))</f>
        <v/>
      </c>
      <c r="D191" s="19" t="str">
        <f aca="false">IF(B191="","",IFERROR(INDEX(品項與安全庫存!$J$5:$J$104,MATCH(B191,品項與安全庫存!$A$5:$A$104,0)),""))</f>
        <v/>
      </c>
      <c r="E191" s="18"/>
      <c r="F191" s="26" t="str">
        <f aca="false">IF(OR(E191="",D191=""),"",E191-D191)</f>
        <v/>
      </c>
      <c r="G191" s="27"/>
      <c r="H191" s="27"/>
    </row>
    <row r="192" customFormat="false" ht="15" hidden="false" customHeight="false" outlineLevel="0" collapsed="false">
      <c r="A192" s="25"/>
      <c r="B192" s="14"/>
      <c r="C192" s="20" t="str">
        <f aca="false">IF(B192="","",IFERROR(INDEX(品項與安全庫存!$C$5:$C$104,MATCH(B192,品項與安全庫存!$A$5:$A$104,0)),""))</f>
        <v/>
      </c>
      <c r="D192" s="19" t="str">
        <f aca="false">IF(B192="","",IFERROR(INDEX(品項與安全庫存!$J$5:$J$104,MATCH(B192,品項與安全庫存!$A$5:$A$104,0)),""))</f>
        <v/>
      </c>
      <c r="E192" s="18"/>
      <c r="F192" s="26" t="str">
        <f aca="false">IF(OR(E192="",D192=""),"",E192-D192)</f>
        <v/>
      </c>
      <c r="G192" s="27"/>
      <c r="H192" s="27"/>
    </row>
    <row r="193" customFormat="false" ht="15" hidden="false" customHeight="false" outlineLevel="0" collapsed="false">
      <c r="A193" s="25"/>
      <c r="B193" s="14"/>
      <c r="C193" s="20" t="str">
        <f aca="false">IF(B193="","",IFERROR(INDEX(品項與安全庫存!$C$5:$C$104,MATCH(B193,品項與安全庫存!$A$5:$A$104,0)),""))</f>
        <v/>
      </c>
      <c r="D193" s="19" t="str">
        <f aca="false">IF(B193="","",IFERROR(INDEX(品項與安全庫存!$J$5:$J$104,MATCH(B193,品項與安全庫存!$A$5:$A$104,0)),""))</f>
        <v/>
      </c>
      <c r="E193" s="18"/>
      <c r="F193" s="26" t="str">
        <f aca="false">IF(OR(E193="",D193=""),"",E193-D193)</f>
        <v/>
      </c>
      <c r="G193" s="27"/>
      <c r="H193" s="27"/>
    </row>
    <row r="194" customFormat="false" ht="15" hidden="false" customHeight="false" outlineLevel="0" collapsed="false">
      <c r="A194" s="25"/>
      <c r="B194" s="14"/>
      <c r="C194" s="20" t="str">
        <f aca="false">IF(B194="","",IFERROR(INDEX(品項與安全庫存!$C$5:$C$104,MATCH(B194,品項與安全庫存!$A$5:$A$104,0)),""))</f>
        <v/>
      </c>
      <c r="D194" s="19" t="str">
        <f aca="false">IF(B194="","",IFERROR(INDEX(品項與安全庫存!$J$5:$J$104,MATCH(B194,品項與安全庫存!$A$5:$A$104,0)),""))</f>
        <v/>
      </c>
      <c r="E194" s="18"/>
      <c r="F194" s="26" t="str">
        <f aca="false">IF(OR(E194="",D194=""),"",E194-D194)</f>
        <v/>
      </c>
      <c r="G194" s="27"/>
      <c r="H194" s="27"/>
    </row>
    <row r="195" customFormat="false" ht="15" hidden="false" customHeight="false" outlineLevel="0" collapsed="false">
      <c r="A195" s="25"/>
      <c r="B195" s="14"/>
      <c r="C195" s="20" t="str">
        <f aca="false">IF(B195="","",IFERROR(INDEX(品項與安全庫存!$C$5:$C$104,MATCH(B195,品項與安全庫存!$A$5:$A$104,0)),""))</f>
        <v/>
      </c>
      <c r="D195" s="19" t="str">
        <f aca="false">IF(B195="","",IFERROR(INDEX(品項與安全庫存!$J$5:$J$104,MATCH(B195,品項與安全庫存!$A$5:$A$104,0)),""))</f>
        <v/>
      </c>
      <c r="E195" s="18"/>
      <c r="F195" s="26" t="str">
        <f aca="false">IF(OR(E195="",D195=""),"",E195-D195)</f>
        <v/>
      </c>
      <c r="G195" s="27"/>
      <c r="H195" s="27"/>
    </row>
    <row r="196" customFormat="false" ht="15" hidden="false" customHeight="false" outlineLevel="0" collapsed="false">
      <c r="A196" s="25"/>
      <c r="B196" s="14"/>
      <c r="C196" s="20" t="str">
        <f aca="false">IF(B196="","",IFERROR(INDEX(品項與安全庫存!$C$5:$C$104,MATCH(B196,品項與安全庫存!$A$5:$A$104,0)),""))</f>
        <v/>
      </c>
      <c r="D196" s="19" t="str">
        <f aca="false">IF(B196="","",IFERROR(INDEX(品項與安全庫存!$J$5:$J$104,MATCH(B196,品項與安全庫存!$A$5:$A$104,0)),""))</f>
        <v/>
      </c>
      <c r="E196" s="18"/>
      <c r="F196" s="26" t="str">
        <f aca="false">IF(OR(E196="",D196=""),"",E196-D196)</f>
        <v/>
      </c>
      <c r="G196" s="27"/>
      <c r="H196" s="27"/>
    </row>
    <row r="197" customFormat="false" ht="15" hidden="false" customHeight="false" outlineLevel="0" collapsed="false">
      <c r="A197" s="25"/>
      <c r="B197" s="14"/>
      <c r="C197" s="20" t="str">
        <f aca="false">IF(B197="","",IFERROR(INDEX(品項與安全庫存!$C$5:$C$104,MATCH(B197,品項與安全庫存!$A$5:$A$104,0)),""))</f>
        <v/>
      </c>
      <c r="D197" s="19" t="str">
        <f aca="false">IF(B197="","",IFERROR(INDEX(品項與安全庫存!$J$5:$J$104,MATCH(B197,品項與安全庫存!$A$5:$A$104,0)),""))</f>
        <v/>
      </c>
      <c r="E197" s="18"/>
      <c r="F197" s="26" t="str">
        <f aca="false">IF(OR(E197="",D197=""),"",E197-D197)</f>
        <v/>
      </c>
      <c r="G197" s="27"/>
      <c r="H197" s="27"/>
    </row>
    <row r="198" customFormat="false" ht="15" hidden="false" customHeight="false" outlineLevel="0" collapsed="false">
      <c r="A198" s="25"/>
      <c r="B198" s="14"/>
      <c r="C198" s="20" t="str">
        <f aca="false">IF(B198="","",IFERROR(INDEX(品項與安全庫存!$C$5:$C$104,MATCH(B198,品項與安全庫存!$A$5:$A$104,0)),""))</f>
        <v/>
      </c>
      <c r="D198" s="19" t="str">
        <f aca="false">IF(B198="","",IFERROR(INDEX(品項與安全庫存!$J$5:$J$104,MATCH(B198,品項與安全庫存!$A$5:$A$104,0)),""))</f>
        <v/>
      </c>
      <c r="E198" s="18"/>
      <c r="F198" s="26" t="str">
        <f aca="false">IF(OR(E198="",D198=""),"",E198-D198)</f>
        <v/>
      </c>
      <c r="G198" s="27"/>
      <c r="H198" s="27"/>
    </row>
    <row r="199" customFormat="false" ht="15" hidden="false" customHeight="false" outlineLevel="0" collapsed="false">
      <c r="A199" s="25"/>
      <c r="B199" s="14"/>
      <c r="C199" s="20" t="str">
        <f aca="false">IF(B199="","",IFERROR(INDEX(品項與安全庫存!$C$5:$C$104,MATCH(B199,品項與安全庫存!$A$5:$A$104,0)),""))</f>
        <v/>
      </c>
      <c r="D199" s="19" t="str">
        <f aca="false">IF(B199="","",IFERROR(INDEX(品項與安全庫存!$J$5:$J$104,MATCH(B199,品項與安全庫存!$A$5:$A$104,0)),""))</f>
        <v/>
      </c>
      <c r="E199" s="18"/>
      <c r="F199" s="26" t="str">
        <f aca="false">IF(OR(E199="",D199=""),"",E199-D199)</f>
        <v/>
      </c>
      <c r="G199" s="27"/>
      <c r="H199" s="27"/>
    </row>
    <row r="200" customFormat="false" ht="15" hidden="false" customHeight="false" outlineLevel="0" collapsed="false">
      <c r="A200" s="25"/>
      <c r="B200" s="14"/>
      <c r="C200" s="20" t="str">
        <f aca="false">IF(B200="","",IFERROR(INDEX(品項與安全庫存!$C$5:$C$104,MATCH(B200,品項與安全庫存!$A$5:$A$104,0)),""))</f>
        <v/>
      </c>
      <c r="D200" s="19" t="str">
        <f aca="false">IF(B200="","",IFERROR(INDEX(品項與安全庫存!$J$5:$J$104,MATCH(B200,品項與安全庫存!$A$5:$A$104,0)),""))</f>
        <v/>
      </c>
      <c r="E200" s="18"/>
      <c r="F200" s="26" t="str">
        <f aca="false">IF(OR(E200="",D200=""),"",E200-D200)</f>
        <v/>
      </c>
      <c r="G200" s="27"/>
      <c r="H200" s="27"/>
    </row>
    <row r="201" customFormat="false" ht="15" hidden="false" customHeight="false" outlineLevel="0" collapsed="false">
      <c r="A201" s="25"/>
      <c r="B201" s="14"/>
      <c r="C201" s="20" t="str">
        <f aca="false">IF(B201="","",IFERROR(INDEX(品項與安全庫存!$C$5:$C$104,MATCH(B201,品項與安全庫存!$A$5:$A$104,0)),""))</f>
        <v/>
      </c>
      <c r="D201" s="19" t="str">
        <f aca="false">IF(B201="","",IFERROR(INDEX(品項與安全庫存!$J$5:$J$104,MATCH(B201,品項與安全庫存!$A$5:$A$104,0)),""))</f>
        <v/>
      </c>
      <c r="E201" s="18"/>
      <c r="F201" s="26" t="str">
        <f aca="false">IF(OR(E201="",D201=""),"",E201-D201)</f>
        <v/>
      </c>
      <c r="G201" s="27"/>
      <c r="H201" s="27"/>
    </row>
    <row r="202" customFormat="false" ht="15" hidden="false" customHeight="false" outlineLevel="0" collapsed="false">
      <c r="A202" s="25"/>
      <c r="B202" s="14"/>
      <c r="C202" s="20" t="str">
        <f aca="false">IF(B202="","",IFERROR(INDEX(品項與安全庫存!$C$5:$C$104,MATCH(B202,品項與安全庫存!$A$5:$A$104,0)),""))</f>
        <v/>
      </c>
      <c r="D202" s="19" t="str">
        <f aca="false">IF(B202="","",IFERROR(INDEX(品項與安全庫存!$J$5:$J$104,MATCH(B202,品項與安全庫存!$A$5:$A$104,0)),""))</f>
        <v/>
      </c>
      <c r="E202" s="18"/>
      <c r="F202" s="26" t="str">
        <f aca="false">IF(OR(E202="",D202=""),"",E202-D202)</f>
        <v/>
      </c>
      <c r="G202" s="27"/>
      <c r="H202" s="27"/>
    </row>
    <row r="203" customFormat="false" ht="15" hidden="false" customHeight="false" outlineLevel="0" collapsed="false">
      <c r="A203" s="25"/>
      <c r="B203" s="14"/>
      <c r="C203" s="20" t="str">
        <f aca="false">IF(B203="","",IFERROR(INDEX(品項與安全庫存!$C$5:$C$104,MATCH(B203,品項與安全庫存!$A$5:$A$104,0)),""))</f>
        <v/>
      </c>
      <c r="D203" s="19" t="str">
        <f aca="false">IF(B203="","",IFERROR(INDEX(品項與安全庫存!$J$5:$J$104,MATCH(B203,品項與安全庫存!$A$5:$A$104,0)),""))</f>
        <v/>
      </c>
      <c r="E203" s="18"/>
      <c r="F203" s="26" t="str">
        <f aca="false">IF(OR(E203="",D203=""),"",E203-D203)</f>
        <v/>
      </c>
      <c r="G203" s="27"/>
      <c r="H203" s="27"/>
    </row>
    <row r="204" customFormat="false" ht="15" hidden="false" customHeight="false" outlineLevel="0" collapsed="false">
      <c r="A204" s="25"/>
      <c r="B204" s="14"/>
      <c r="C204" s="20" t="str">
        <f aca="false">IF(B204="","",IFERROR(INDEX(品項與安全庫存!$C$5:$C$104,MATCH(B204,品項與安全庫存!$A$5:$A$104,0)),""))</f>
        <v/>
      </c>
      <c r="D204" s="19" t="str">
        <f aca="false">IF(B204="","",IFERROR(INDEX(品項與安全庫存!$J$5:$J$104,MATCH(B204,品項與安全庫存!$A$5:$A$104,0)),""))</f>
        <v/>
      </c>
      <c r="E204" s="18"/>
      <c r="F204" s="26" t="str">
        <f aca="false">IF(OR(E204="",D204=""),"",E204-D204)</f>
        <v/>
      </c>
      <c r="G204" s="27"/>
      <c r="H204" s="27"/>
    </row>
    <row r="205" customFormat="false" ht="15" hidden="false" customHeight="false" outlineLevel="0" collapsed="false">
      <c r="A205" s="25"/>
      <c r="B205" s="14"/>
      <c r="C205" s="20" t="str">
        <f aca="false">IF(B205="","",IFERROR(INDEX(品項與安全庫存!$C$5:$C$104,MATCH(B205,品項與安全庫存!$A$5:$A$104,0)),""))</f>
        <v/>
      </c>
      <c r="D205" s="19" t="str">
        <f aca="false">IF(B205="","",IFERROR(INDEX(品項與安全庫存!$J$5:$J$104,MATCH(B205,品項與安全庫存!$A$5:$A$104,0)),""))</f>
        <v/>
      </c>
      <c r="E205" s="18"/>
      <c r="F205" s="26" t="str">
        <f aca="false">IF(OR(E205="",D205=""),"",E205-D205)</f>
        <v/>
      </c>
      <c r="G205" s="27"/>
      <c r="H205" s="27"/>
    </row>
    <row r="206" customFormat="false" ht="15" hidden="false" customHeight="false" outlineLevel="0" collapsed="false">
      <c r="A206" s="25"/>
      <c r="B206" s="14"/>
      <c r="C206" s="20" t="str">
        <f aca="false">IF(B206="","",IFERROR(INDEX(品項與安全庫存!$C$5:$C$104,MATCH(B206,品項與安全庫存!$A$5:$A$104,0)),""))</f>
        <v/>
      </c>
      <c r="D206" s="19" t="str">
        <f aca="false">IF(B206="","",IFERROR(INDEX(品項與安全庫存!$J$5:$J$104,MATCH(B206,品項與安全庫存!$A$5:$A$104,0)),""))</f>
        <v/>
      </c>
      <c r="E206" s="18"/>
      <c r="F206" s="26" t="str">
        <f aca="false">IF(OR(E206="",D206=""),"",E206-D206)</f>
        <v/>
      </c>
      <c r="G206" s="27"/>
      <c r="H206" s="27"/>
    </row>
    <row r="207" customFormat="false" ht="15" hidden="false" customHeight="false" outlineLevel="0" collapsed="false">
      <c r="A207" s="25"/>
      <c r="B207" s="14"/>
      <c r="C207" s="20" t="str">
        <f aca="false">IF(B207="","",IFERROR(INDEX(品項與安全庫存!$C$5:$C$104,MATCH(B207,品項與安全庫存!$A$5:$A$104,0)),""))</f>
        <v/>
      </c>
      <c r="D207" s="19" t="str">
        <f aca="false">IF(B207="","",IFERROR(INDEX(品項與安全庫存!$J$5:$J$104,MATCH(B207,品項與安全庫存!$A$5:$A$104,0)),""))</f>
        <v/>
      </c>
      <c r="E207" s="18"/>
      <c r="F207" s="26" t="str">
        <f aca="false">IF(OR(E207="",D207=""),"",E207-D207)</f>
        <v/>
      </c>
      <c r="G207" s="27"/>
      <c r="H207" s="27"/>
    </row>
    <row r="208" customFormat="false" ht="15" hidden="false" customHeight="false" outlineLevel="0" collapsed="false">
      <c r="A208" s="25"/>
      <c r="B208" s="14"/>
      <c r="C208" s="20" t="str">
        <f aca="false">IF(B208="","",IFERROR(INDEX(品項與安全庫存!$C$5:$C$104,MATCH(B208,品項與安全庫存!$A$5:$A$104,0)),""))</f>
        <v/>
      </c>
      <c r="D208" s="19" t="str">
        <f aca="false">IF(B208="","",IFERROR(INDEX(品項與安全庫存!$J$5:$J$104,MATCH(B208,品項與安全庫存!$A$5:$A$104,0)),""))</f>
        <v/>
      </c>
      <c r="E208" s="18"/>
      <c r="F208" s="26" t="str">
        <f aca="false">IF(OR(E208="",D208=""),"",E208-D208)</f>
        <v/>
      </c>
      <c r="G208" s="27"/>
      <c r="H208" s="27"/>
    </row>
    <row r="209" customFormat="false" ht="15" hidden="false" customHeight="false" outlineLevel="0" collapsed="false">
      <c r="A209" s="25"/>
      <c r="B209" s="14"/>
      <c r="C209" s="20" t="str">
        <f aca="false">IF(B209="","",IFERROR(INDEX(品項與安全庫存!$C$5:$C$104,MATCH(B209,品項與安全庫存!$A$5:$A$104,0)),""))</f>
        <v/>
      </c>
      <c r="D209" s="19" t="str">
        <f aca="false">IF(B209="","",IFERROR(INDEX(品項與安全庫存!$J$5:$J$104,MATCH(B209,品項與安全庫存!$A$5:$A$104,0)),""))</f>
        <v/>
      </c>
      <c r="E209" s="18"/>
      <c r="F209" s="26" t="str">
        <f aca="false">IF(OR(E209="",D209=""),"",E209-D209)</f>
        <v/>
      </c>
      <c r="G209" s="27"/>
      <c r="H209" s="27"/>
    </row>
    <row r="210" customFormat="false" ht="15" hidden="false" customHeight="false" outlineLevel="0" collapsed="false">
      <c r="A210" s="25"/>
      <c r="B210" s="14"/>
      <c r="C210" s="20" t="str">
        <f aca="false">IF(B210="","",IFERROR(INDEX(品項與安全庫存!$C$5:$C$104,MATCH(B210,品項與安全庫存!$A$5:$A$104,0)),""))</f>
        <v/>
      </c>
      <c r="D210" s="19" t="str">
        <f aca="false">IF(B210="","",IFERROR(INDEX(品項與安全庫存!$J$5:$J$104,MATCH(B210,品項與安全庫存!$A$5:$A$104,0)),""))</f>
        <v/>
      </c>
      <c r="E210" s="18"/>
      <c r="F210" s="26" t="str">
        <f aca="false">IF(OR(E210="",D210=""),"",E210-D210)</f>
        <v/>
      </c>
      <c r="G210" s="27"/>
      <c r="H210" s="27"/>
    </row>
    <row r="211" customFormat="false" ht="15" hidden="false" customHeight="false" outlineLevel="0" collapsed="false">
      <c r="A211" s="25"/>
      <c r="B211" s="14"/>
      <c r="C211" s="20" t="str">
        <f aca="false">IF(B211="","",IFERROR(INDEX(品項與安全庫存!$C$5:$C$104,MATCH(B211,品項與安全庫存!$A$5:$A$104,0)),""))</f>
        <v/>
      </c>
      <c r="D211" s="19" t="str">
        <f aca="false">IF(B211="","",IFERROR(INDEX(品項與安全庫存!$J$5:$J$104,MATCH(B211,品項與安全庫存!$A$5:$A$104,0)),""))</f>
        <v/>
      </c>
      <c r="E211" s="18"/>
      <c r="F211" s="26" t="str">
        <f aca="false">IF(OR(E211="",D211=""),"",E211-D211)</f>
        <v/>
      </c>
      <c r="G211" s="27"/>
      <c r="H211" s="27"/>
    </row>
    <row r="212" customFormat="false" ht="15" hidden="false" customHeight="false" outlineLevel="0" collapsed="false">
      <c r="A212" s="25"/>
      <c r="B212" s="14"/>
      <c r="C212" s="20" t="str">
        <f aca="false">IF(B212="","",IFERROR(INDEX(品項與安全庫存!$C$5:$C$104,MATCH(B212,品項與安全庫存!$A$5:$A$104,0)),""))</f>
        <v/>
      </c>
      <c r="D212" s="19" t="str">
        <f aca="false">IF(B212="","",IFERROR(INDEX(品項與安全庫存!$J$5:$J$104,MATCH(B212,品項與安全庫存!$A$5:$A$104,0)),""))</f>
        <v/>
      </c>
      <c r="E212" s="18"/>
      <c r="F212" s="26" t="str">
        <f aca="false">IF(OR(E212="",D212=""),"",E212-D212)</f>
        <v/>
      </c>
      <c r="G212" s="27"/>
      <c r="H212" s="27"/>
    </row>
    <row r="213" customFormat="false" ht="15" hidden="false" customHeight="false" outlineLevel="0" collapsed="false">
      <c r="A213" s="25"/>
      <c r="B213" s="14"/>
      <c r="C213" s="20" t="str">
        <f aca="false">IF(B213="","",IFERROR(INDEX(品項與安全庫存!$C$5:$C$104,MATCH(B213,品項與安全庫存!$A$5:$A$104,0)),""))</f>
        <v/>
      </c>
      <c r="D213" s="19" t="str">
        <f aca="false">IF(B213="","",IFERROR(INDEX(品項與安全庫存!$J$5:$J$104,MATCH(B213,品項與安全庫存!$A$5:$A$104,0)),""))</f>
        <v/>
      </c>
      <c r="E213" s="18"/>
      <c r="F213" s="26" t="str">
        <f aca="false">IF(OR(E213="",D213=""),"",E213-D213)</f>
        <v/>
      </c>
      <c r="G213" s="27"/>
      <c r="H213" s="27"/>
    </row>
    <row r="214" customFormat="false" ht="15" hidden="false" customHeight="false" outlineLevel="0" collapsed="false">
      <c r="A214" s="25"/>
      <c r="B214" s="14"/>
      <c r="C214" s="20" t="str">
        <f aca="false">IF(B214="","",IFERROR(INDEX(品項與安全庫存!$C$5:$C$104,MATCH(B214,品項與安全庫存!$A$5:$A$104,0)),""))</f>
        <v/>
      </c>
      <c r="D214" s="19" t="str">
        <f aca="false">IF(B214="","",IFERROR(INDEX(品項與安全庫存!$J$5:$J$104,MATCH(B214,品項與安全庫存!$A$5:$A$104,0)),""))</f>
        <v/>
      </c>
      <c r="E214" s="18"/>
      <c r="F214" s="26" t="str">
        <f aca="false">IF(OR(E214="",D214=""),"",E214-D214)</f>
        <v/>
      </c>
      <c r="G214" s="27"/>
      <c r="H214" s="27"/>
    </row>
    <row r="215" customFormat="false" ht="15" hidden="false" customHeight="false" outlineLevel="0" collapsed="false">
      <c r="A215" s="25"/>
      <c r="B215" s="14"/>
      <c r="C215" s="20" t="str">
        <f aca="false">IF(B215="","",IFERROR(INDEX(品項與安全庫存!$C$5:$C$104,MATCH(B215,品項與安全庫存!$A$5:$A$104,0)),""))</f>
        <v/>
      </c>
      <c r="D215" s="19" t="str">
        <f aca="false">IF(B215="","",IFERROR(INDEX(品項與安全庫存!$J$5:$J$104,MATCH(B215,品項與安全庫存!$A$5:$A$104,0)),""))</f>
        <v/>
      </c>
      <c r="E215" s="18"/>
      <c r="F215" s="26" t="str">
        <f aca="false">IF(OR(E215="",D215=""),"",E215-D215)</f>
        <v/>
      </c>
      <c r="G215" s="27"/>
      <c r="H215" s="27"/>
    </row>
    <row r="216" customFormat="false" ht="15" hidden="false" customHeight="false" outlineLevel="0" collapsed="false">
      <c r="A216" s="25"/>
      <c r="B216" s="14"/>
      <c r="C216" s="20" t="str">
        <f aca="false">IF(B216="","",IFERROR(INDEX(品項與安全庫存!$C$5:$C$104,MATCH(B216,品項與安全庫存!$A$5:$A$104,0)),""))</f>
        <v/>
      </c>
      <c r="D216" s="19" t="str">
        <f aca="false">IF(B216="","",IFERROR(INDEX(品項與安全庫存!$J$5:$J$104,MATCH(B216,品項與安全庫存!$A$5:$A$104,0)),""))</f>
        <v/>
      </c>
      <c r="E216" s="18"/>
      <c r="F216" s="26" t="str">
        <f aca="false">IF(OR(E216="",D216=""),"",E216-D216)</f>
        <v/>
      </c>
      <c r="G216" s="27"/>
      <c r="H216" s="27"/>
    </row>
    <row r="217" customFormat="false" ht="15" hidden="false" customHeight="false" outlineLevel="0" collapsed="false">
      <c r="A217" s="25"/>
      <c r="B217" s="14"/>
      <c r="C217" s="20" t="str">
        <f aca="false">IF(B217="","",IFERROR(INDEX(品項與安全庫存!$C$5:$C$104,MATCH(B217,品項與安全庫存!$A$5:$A$104,0)),""))</f>
        <v/>
      </c>
      <c r="D217" s="19" t="str">
        <f aca="false">IF(B217="","",IFERROR(INDEX(品項與安全庫存!$J$5:$J$104,MATCH(B217,品項與安全庫存!$A$5:$A$104,0)),""))</f>
        <v/>
      </c>
      <c r="E217" s="18"/>
      <c r="F217" s="26" t="str">
        <f aca="false">IF(OR(E217="",D217=""),"",E217-D217)</f>
        <v/>
      </c>
      <c r="G217" s="27"/>
      <c r="H217" s="27"/>
    </row>
    <row r="218" customFormat="false" ht="15" hidden="false" customHeight="false" outlineLevel="0" collapsed="false">
      <c r="A218" s="25"/>
      <c r="B218" s="14"/>
      <c r="C218" s="20" t="str">
        <f aca="false">IF(B218="","",IFERROR(INDEX(品項與安全庫存!$C$5:$C$104,MATCH(B218,品項與安全庫存!$A$5:$A$104,0)),""))</f>
        <v/>
      </c>
      <c r="D218" s="19" t="str">
        <f aca="false">IF(B218="","",IFERROR(INDEX(品項與安全庫存!$J$5:$J$104,MATCH(B218,品項與安全庫存!$A$5:$A$104,0)),""))</f>
        <v/>
      </c>
      <c r="E218" s="18"/>
      <c r="F218" s="26" t="str">
        <f aca="false">IF(OR(E218="",D218=""),"",E218-D218)</f>
        <v/>
      </c>
      <c r="G218" s="27"/>
      <c r="H218" s="27"/>
    </row>
    <row r="219" customFormat="false" ht="15" hidden="false" customHeight="false" outlineLevel="0" collapsed="false">
      <c r="A219" s="25"/>
      <c r="B219" s="14"/>
      <c r="C219" s="20" t="str">
        <f aca="false">IF(B219="","",IFERROR(INDEX(品項與安全庫存!$C$5:$C$104,MATCH(B219,品項與安全庫存!$A$5:$A$104,0)),""))</f>
        <v/>
      </c>
      <c r="D219" s="19" t="str">
        <f aca="false">IF(B219="","",IFERROR(INDEX(品項與安全庫存!$J$5:$J$104,MATCH(B219,品項與安全庫存!$A$5:$A$104,0)),""))</f>
        <v/>
      </c>
      <c r="E219" s="18"/>
      <c r="F219" s="26" t="str">
        <f aca="false">IF(OR(E219="",D219=""),"",E219-D219)</f>
        <v/>
      </c>
      <c r="G219" s="27"/>
      <c r="H219" s="27"/>
    </row>
    <row r="220" customFormat="false" ht="15" hidden="false" customHeight="false" outlineLevel="0" collapsed="false">
      <c r="A220" s="25"/>
      <c r="B220" s="14"/>
      <c r="C220" s="20" t="str">
        <f aca="false">IF(B220="","",IFERROR(INDEX(品項與安全庫存!$C$5:$C$104,MATCH(B220,品項與安全庫存!$A$5:$A$104,0)),""))</f>
        <v/>
      </c>
      <c r="D220" s="19" t="str">
        <f aca="false">IF(B220="","",IFERROR(INDEX(品項與安全庫存!$J$5:$J$104,MATCH(B220,品項與安全庫存!$A$5:$A$104,0)),""))</f>
        <v/>
      </c>
      <c r="E220" s="18"/>
      <c r="F220" s="26" t="str">
        <f aca="false">IF(OR(E220="",D220=""),"",E220-D220)</f>
        <v/>
      </c>
      <c r="G220" s="27"/>
      <c r="H220" s="27"/>
    </row>
    <row r="221" customFormat="false" ht="15" hidden="false" customHeight="false" outlineLevel="0" collapsed="false">
      <c r="A221" s="25"/>
      <c r="B221" s="14"/>
      <c r="C221" s="20" t="str">
        <f aca="false">IF(B221="","",IFERROR(INDEX(品項與安全庫存!$C$5:$C$104,MATCH(B221,品項與安全庫存!$A$5:$A$104,0)),""))</f>
        <v/>
      </c>
      <c r="D221" s="19" t="str">
        <f aca="false">IF(B221="","",IFERROR(INDEX(品項與安全庫存!$J$5:$J$104,MATCH(B221,品項與安全庫存!$A$5:$A$104,0)),""))</f>
        <v/>
      </c>
      <c r="E221" s="18"/>
      <c r="F221" s="26" t="str">
        <f aca="false">IF(OR(E221="",D221=""),"",E221-D221)</f>
        <v/>
      </c>
      <c r="G221" s="27"/>
      <c r="H221" s="27"/>
    </row>
    <row r="222" customFormat="false" ht="15" hidden="false" customHeight="false" outlineLevel="0" collapsed="false">
      <c r="A222" s="25"/>
      <c r="B222" s="14"/>
      <c r="C222" s="20" t="str">
        <f aca="false">IF(B222="","",IFERROR(INDEX(品項與安全庫存!$C$5:$C$104,MATCH(B222,品項與安全庫存!$A$5:$A$104,0)),""))</f>
        <v/>
      </c>
      <c r="D222" s="19" t="str">
        <f aca="false">IF(B222="","",IFERROR(INDEX(品項與安全庫存!$J$5:$J$104,MATCH(B222,品項與安全庫存!$A$5:$A$104,0)),""))</f>
        <v/>
      </c>
      <c r="E222" s="18"/>
      <c r="F222" s="26" t="str">
        <f aca="false">IF(OR(E222="",D222=""),"",E222-D222)</f>
        <v/>
      </c>
      <c r="G222" s="27"/>
      <c r="H222" s="27"/>
    </row>
    <row r="223" customFormat="false" ht="15" hidden="false" customHeight="false" outlineLevel="0" collapsed="false">
      <c r="A223" s="25"/>
      <c r="B223" s="14"/>
      <c r="C223" s="20" t="str">
        <f aca="false">IF(B223="","",IFERROR(INDEX(品項與安全庫存!$C$5:$C$104,MATCH(B223,品項與安全庫存!$A$5:$A$104,0)),""))</f>
        <v/>
      </c>
      <c r="D223" s="19" t="str">
        <f aca="false">IF(B223="","",IFERROR(INDEX(品項與安全庫存!$J$5:$J$104,MATCH(B223,品項與安全庫存!$A$5:$A$104,0)),""))</f>
        <v/>
      </c>
      <c r="E223" s="18"/>
      <c r="F223" s="26" t="str">
        <f aca="false">IF(OR(E223="",D223=""),"",E223-D223)</f>
        <v/>
      </c>
      <c r="G223" s="27"/>
      <c r="H223" s="27"/>
    </row>
    <row r="224" customFormat="false" ht="15" hidden="false" customHeight="false" outlineLevel="0" collapsed="false">
      <c r="A224" s="25"/>
      <c r="B224" s="14"/>
      <c r="C224" s="20" t="str">
        <f aca="false">IF(B224="","",IFERROR(INDEX(品項與安全庫存!$C$5:$C$104,MATCH(B224,品項與安全庫存!$A$5:$A$104,0)),""))</f>
        <v/>
      </c>
      <c r="D224" s="19" t="str">
        <f aca="false">IF(B224="","",IFERROR(INDEX(品項與安全庫存!$J$5:$J$104,MATCH(B224,品項與安全庫存!$A$5:$A$104,0)),""))</f>
        <v/>
      </c>
      <c r="E224" s="18"/>
      <c r="F224" s="26" t="str">
        <f aca="false">IF(OR(E224="",D224=""),"",E224-D224)</f>
        <v/>
      </c>
      <c r="G224" s="27"/>
      <c r="H224" s="27"/>
    </row>
    <row r="225" customFormat="false" ht="15" hidden="false" customHeight="false" outlineLevel="0" collapsed="false">
      <c r="A225" s="25"/>
      <c r="B225" s="14"/>
      <c r="C225" s="20" t="str">
        <f aca="false">IF(B225="","",IFERROR(INDEX(品項與安全庫存!$C$5:$C$104,MATCH(B225,品項與安全庫存!$A$5:$A$104,0)),""))</f>
        <v/>
      </c>
      <c r="D225" s="19" t="str">
        <f aca="false">IF(B225="","",IFERROR(INDEX(品項與安全庫存!$J$5:$J$104,MATCH(B225,品項與安全庫存!$A$5:$A$104,0)),""))</f>
        <v/>
      </c>
      <c r="E225" s="18"/>
      <c r="F225" s="26" t="str">
        <f aca="false">IF(OR(E225="",D225=""),"",E225-D225)</f>
        <v/>
      </c>
      <c r="G225" s="27"/>
      <c r="H225" s="27"/>
    </row>
    <row r="226" customFormat="false" ht="15" hidden="false" customHeight="false" outlineLevel="0" collapsed="false">
      <c r="A226" s="25"/>
      <c r="B226" s="14"/>
      <c r="C226" s="20" t="str">
        <f aca="false">IF(B226="","",IFERROR(INDEX(品項與安全庫存!$C$5:$C$104,MATCH(B226,品項與安全庫存!$A$5:$A$104,0)),""))</f>
        <v/>
      </c>
      <c r="D226" s="19" t="str">
        <f aca="false">IF(B226="","",IFERROR(INDEX(品項與安全庫存!$J$5:$J$104,MATCH(B226,品項與安全庫存!$A$5:$A$104,0)),""))</f>
        <v/>
      </c>
      <c r="E226" s="18"/>
      <c r="F226" s="26" t="str">
        <f aca="false">IF(OR(E226="",D226=""),"",E226-D226)</f>
        <v/>
      </c>
      <c r="G226" s="27"/>
      <c r="H226" s="27"/>
    </row>
    <row r="227" customFormat="false" ht="15" hidden="false" customHeight="false" outlineLevel="0" collapsed="false">
      <c r="A227" s="25"/>
      <c r="B227" s="14"/>
      <c r="C227" s="20" t="str">
        <f aca="false">IF(B227="","",IFERROR(INDEX(品項與安全庫存!$C$5:$C$104,MATCH(B227,品項與安全庫存!$A$5:$A$104,0)),""))</f>
        <v/>
      </c>
      <c r="D227" s="19" t="str">
        <f aca="false">IF(B227="","",IFERROR(INDEX(品項與安全庫存!$J$5:$J$104,MATCH(B227,品項與安全庫存!$A$5:$A$104,0)),""))</f>
        <v/>
      </c>
      <c r="E227" s="18"/>
      <c r="F227" s="26" t="str">
        <f aca="false">IF(OR(E227="",D227=""),"",E227-D227)</f>
        <v/>
      </c>
      <c r="G227" s="27"/>
      <c r="H227" s="27"/>
    </row>
    <row r="228" customFormat="false" ht="15" hidden="false" customHeight="false" outlineLevel="0" collapsed="false">
      <c r="A228" s="25"/>
      <c r="B228" s="14"/>
      <c r="C228" s="20" t="str">
        <f aca="false">IF(B228="","",IFERROR(INDEX(品項與安全庫存!$C$5:$C$104,MATCH(B228,品項與安全庫存!$A$5:$A$104,0)),""))</f>
        <v/>
      </c>
      <c r="D228" s="19" t="str">
        <f aca="false">IF(B228="","",IFERROR(INDEX(品項與安全庫存!$J$5:$J$104,MATCH(B228,品項與安全庫存!$A$5:$A$104,0)),""))</f>
        <v/>
      </c>
      <c r="E228" s="18"/>
      <c r="F228" s="26" t="str">
        <f aca="false">IF(OR(E228="",D228=""),"",E228-D228)</f>
        <v/>
      </c>
      <c r="G228" s="27"/>
      <c r="H228" s="27"/>
    </row>
    <row r="229" customFormat="false" ht="15" hidden="false" customHeight="false" outlineLevel="0" collapsed="false">
      <c r="A229" s="25"/>
      <c r="B229" s="14"/>
      <c r="C229" s="20" t="str">
        <f aca="false">IF(B229="","",IFERROR(INDEX(品項與安全庫存!$C$5:$C$104,MATCH(B229,品項與安全庫存!$A$5:$A$104,0)),""))</f>
        <v/>
      </c>
      <c r="D229" s="19" t="str">
        <f aca="false">IF(B229="","",IFERROR(INDEX(品項與安全庫存!$J$5:$J$104,MATCH(B229,品項與安全庫存!$A$5:$A$104,0)),""))</f>
        <v/>
      </c>
      <c r="E229" s="18"/>
      <c r="F229" s="26" t="str">
        <f aca="false">IF(OR(E229="",D229=""),"",E229-D229)</f>
        <v/>
      </c>
      <c r="G229" s="27"/>
      <c r="H229" s="27"/>
    </row>
    <row r="230" customFormat="false" ht="15" hidden="false" customHeight="false" outlineLevel="0" collapsed="false">
      <c r="A230" s="25"/>
      <c r="B230" s="14"/>
      <c r="C230" s="20" t="str">
        <f aca="false">IF(B230="","",IFERROR(INDEX(品項與安全庫存!$C$5:$C$104,MATCH(B230,品項與安全庫存!$A$5:$A$104,0)),""))</f>
        <v/>
      </c>
      <c r="D230" s="19" t="str">
        <f aca="false">IF(B230="","",IFERROR(INDEX(品項與安全庫存!$J$5:$J$104,MATCH(B230,品項與安全庫存!$A$5:$A$104,0)),""))</f>
        <v/>
      </c>
      <c r="E230" s="18"/>
      <c r="F230" s="26" t="str">
        <f aca="false">IF(OR(E230="",D230=""),"",E230-D230)</f>
        <v/>
      </c>
      <c r="G230" s="27"/>
      <c r="H230" s="27"/>
    </row>
    <row r="231" customFormat="false" ht="15" hidden="false" customHeight="false" outlineLevel="0" collapsed="false">
      <c r="A231" s="25"/>
      <c r="B231" s="14"/>
      <c r="C231" s="20" t="str">
        <f aca="false">IF(B231="","",IFERROR(INDEX(品項與安全庫存!$C$5:$C$104,MATCH(B231,品項與安全庫存!$A$5:$A$104,0)),""))</f>
        <v/>
      </c>
      <c r="D231" s="19" t="str">
        <f aca="false">IF(B231="","",IFERROR(INDEX(品項與安全庫存!$J$5:$J$104,MATCH(B231,品項與安全庫存!$A$5:$A$104,0)),""))</f>
        <v/>
      </c>
      <c r="E231" s="18"/>
      <c r="F231" s="26" t="str">
        <f aca="false">IF(OR(E231="",D231=""),"",E231-D231)</f>
        <v/>
      </c>
      <c r="G231" s="27"/>
      <c r="H231" s="27"/>
    </row>
    <row r="232" customFormat="false" ht="15" hidden="false" customHeight="false" outlineLevel="0" collapsed="false">
      <c r="A232" s="25"/>
      <c r="B232" s="14"/>
      <c r="C232" s="20" t="str">
        <f aca="false">IF(B232="","",IFERROR(INDEX(品項與安全庫存!$C$5:$C$104,MATCH(B232,品項與安全庫存!$A$5:$A$104,0)),""))</f>
        <v/>
      </c>
      <c r="D232" s="19" t="str">
        <f aca="false">IF(B232="","",IFERROR(INDEX(品項與安全庫存!$J$5:$J$104,MATCH(B232,品項與安全庫存!$A$5:$A$104,0)),""))</f>
        <v/>
      </c>
      <c r="E232" s="18"/>
      <c r="F232" s="26" t="str">
        <f aca="false">IF(OR(E232="",D232=""),"",E232-D232)</f>
        <v/>
      </c>
      <c r="G232" s="27"/>
      <c r="H232" s="27"/>
    </row>
    <row r="233" customFormat="false" ht="15" hidden="false" customHeight="false" outlineLevel="0" collapsed="false">
      <c r="A233" s="25"/>
      <c r="B233" s="14"/>
      <c r="C233" s="20" t="str">
        <f aca="false">IF(B233="","",IFERROR(INDEX(品項與安全庫存!$C$5:$C$104,MATCH(B233,品項與安全庫存!$A$5:$A$104,0)),""))</f>
        <v/>
      </c>
      <c r="D233" s="19" t="str">
        <f aca="false">IF(B233="","",IFERROR(INDEX(品項與安全庫存!$J$5:$J$104,MATCH(B233,品項與安全庫存!$A$5:$A$104,0)),""))</f>
        <v/>
      </c>
      <c r="E233" s="18"/>
      <c r="F233" s="26" t="str">
        <f aca="false">IF(OR(E233="",D233=""),"",E233-D233)</f>
        <v/>
      </c>
      <c r="G233" s="27"/>
      <c r="H233" s="27"/>
    </row>
    <row r="234" customFormat="false" ht="15" hidden="false" customHeight="false" outlineLevel="0" collapsed="false">
      <c r="A234" s="25"/>
      <c r="B234" s="14"/>
      <c r="C234" s="20" t="str">
        <f aca="false">IF(B234="","",IFERROR(INDEX(品項與安全庫存!$C$5:$C$104,MATCH(B234,品項與安全庫存!$A$5:$A$104,0)),""))</f>
        <v/>
      </c>
      <c r="D234" s="19" t="str">
        <f aca="false">IF(B234="","",IFERROR(INDEX(品項與安全庫存!$J$5:$J$104,MATCH(B234,品項與安全庫存!$A$5:$A$104,0)),""))</f>
        <v/>
      </c>
      <c r="E234" s="18"/>
      <c r="F234" s="26" t="str">
        <f aca="false">IF(OR(E234="",D234=""),"",E234-D234)</f>
        <v/>
      </c>
      <c r="G234" s="27"/>
      <c r="H234" s="27"/>
    </row>
    <row r="235" customFormat="false" ht="15" hidden="false" customHeight="false" outlineLevel="0" collapsed="false">
      <c r="A235" s="25"/>
      <c r="B235" s="14"/>
      <c r="C235" s="20" t="str">
        <f aca="false">IF(B235="","",IFERROR(INDEX(品項與安全庫存!$C$5:$C$104,MATCH(B235,品項與安全庫存!$A$5:$A$104,0)),""))</f>
        <v/>
      </c>
      <c r="D235" s="19" t="str">
        <f aca="false">IF(B235="","",IFERROR(INDEX(品項與安全庫存!$J$5:$J$104,MATCH(B235,品項與安全庫存!$A$5:$A$104,0)),""))</f>
        <v/>
      </c>
      <c r="E235" s="18"/>
      <c r="F235" s="26" t="str">
        <f aca="false">IF(OR(E235="",D235=""),"",E235-D235)</f>
        <v/>
      </c>
      <c r="G235" s="27"/>
      <c r="H235" s="27"/>
    </row>
    <row r="236" customFormat="false" ht="15" hidden="false" customHeight="false" outlineLevel="0" collapsed="false">
      <c r="A236" s="25"/>
      <c r="B236" s="14"/>
      <c r="C236" s="20" t="str">
        <f aca="false">IF(B236="","",IFERROR(INDEX(品項與安全庫存!$C$5:$C$104,MATCH(B236,品項與安全庫存!$A$5:$A$104,0)),""))</f>
        <v/>
      </c>
      <c r="D236" s="19" t="str">
        <f aca="false">IF(B236="","",IFERROR(INDEX(品項與安全庫存!$J$5:$J$104,MATCH(B236,品項與安全庫存!$A$5:$A$104,0)),""))</f>
        <v/>
      </c>
      <c r="E236" s="18"/>
      <c r="F236" s="26" t="str">
        <f aca="false">IF(OR(E236="",D236=""),"",E236-D236)</f>
        <v/>
      </c>
      <c r="G236" s="27"/>
      <c r="H236" s="27"/>
    </row>
    <row r="237" customFormat="false" ht="15" hidden="false" customHeight="false" outlineLevel="0" collapsed="false">
      <c r="A237" s="25"/>
      <c r="B237" s="14"/>
      <c r="C237" s="20" t="str">
        <f aca="false">IF(B237="","",IFERROR(INDEX(品項與安全庫存!$C$5:$C$104,MATCH(B237,品項與安全庫存!$A$5:$A$104,0)),""))</f>
        <v/>
      </c>
      <c r="D237" s="19" t="str">
        <f aca="false">IF(B237="","",IFERROR(INDEX(品項與安全庫存!$J$5:$J$104,MATCH(B237,品項與安全庫存!$A$5:$A$104,0)),""))</f>
        <v/>
      </c>
      <c r="E237" s="18"/>
      <c r="F237" s="26" t="str">
        <f aca="false">IF(OR(E237="",D237=""),"",E237-D237)</f>
        <v/>
      </c>
      <c r="G237" s="27"/>
      <c r="H237" s="27"/>
    </row>
    <row r="238" customFormat="false" ht="15" hidden="false" customHeight="false" outlineLevel="0" collapsed="false">
      <c r="A238" s="25"/>
      <c r="B238" s="14"/>
      <c r="C238" s="20" t="str">
        <f aca="false">IF(B238="","",IFERROR(INDEX(品項與安全庫存!$C$5:$C$104,MATCH(B238,品項與安全庫存!$A$5:$A$104,0)),""))</f>
        <v/>
      </c>
      <c r="D238" s="19" t="str">
        <f aca="false">IF(B238="","",IFERROR(INDEX(品項與安全庫存!$J$5:$J$104,MATCH(B238,品項與安全庫存!$A$5:$A$104,0)),""))</f>
        <v/>
      </c>
      <c r="E238" s="18"/>
      <c r="F238" s="26" t="str">
        <f aca="false">IF(OR(E238="",D238=""),"",E238-D238)</f>
        <v/>
      </c>
      <c r="G238" s="27"/>
      <c r="H238" s="27"/>
    </row>
    <row r="239" customFormat="false" ht="15" hidden="false" customHeight="false" outlineLevel="0" collapsed="false">
      <c r="A239" s="25"/>
      <c r="B239" s="14"/>
      <c r="C239" s="20" t="str">
        <f aca="false">IF(B239="","",IFERROR(INDEX(品項與安全庫存!$C$5:$C$104,MATCH(B239,品項與安全庫存!$A$5:$A$104,0)),""))</f>
        <v/>
      </c>
      <c r="D239" s="19" t="str">
        <f aca="false">IF(B239="","",IFERROR(INDEX(品項與安全庫存!$J$5:$J$104,MATCH(B239,品項與安全庫存!$A$5:$A$104,0)),""))</f>
        <v/>
      </c>
      <c r="E239" s="18"/>
      <c r="F239" s="26" t="str">
        <f aca="false">IF(OR(E239="",D239=""),"",E239-D239)</f>
        <v/>
      </c>
      <c r="G239" s="27"/>
      <c r="H239" s="27"/>
    </row>
    <row r="240" customFormat="false" ht="15" hidden="false" customHeight="false" outlineLevel="0" collapsed="false">
      <c r="A240" s="25"/>
      <c r="B240" s="14"/>
      <c r="C240" s="20" t="str">
        <f aca="false">IF(B240="","",IFERROR(INDEX(品項與安全庫存!$C$5:$C$104,MATCH(B240,品項與安全庫存!$A$5:$A$104,0)),""))</f>
        <v/>
      </c>
      <c r="D240" s="19" t="str">
        <f aca="false">IF(B240="","",IFERROR(INDEX(品項與安全庫存!$J$5:$J$104,MATCH(B240,品項與安全庫存!$A$5:$A$104,0)),""))</f>
        <v/>
      </c>
      <c r="E240" s="18"/>
      <c r="F240" s="26" t="str">
        <f aca="false">IF(OR(E240="",D240=""),"",E240-D240)</f>
        <v/>
      </c>
      <c r="G240" s="27"/>
      <c r="H240" s="27"/>
    </row>
    <row r="241" customFormat="false" ht="15" hidden="false" customHeight="false" outlineLevel="0" collapsed="false">
      <c r="A241" s="25"/>
      <c r="B241" s="14"/>
      <c r="C241" s="20" t="str">
        <f aca="false">IF(B241="","",IFERROR(INDEX(品項與安全庫存!$C$5:$C$104,MATCH(B241,品項與安全庫存!$A$5:$A$104,0)),""))</f>
        <v/>
      </c>
      <c r="D241" s="19" t="str">
        <f aca="false">IF(B241="","",IFERROR(INDEX(品項與安全庫存!$J$5:$J$104,MATCH(B241,品項與安全庫存!$A$5:$A$104,0)),""))</f>
        <v/>
      </c>
      <c r="E241" s="18"/>
      <c r="F241" s="26" t="str">
        <f aca="false">IF(OR(E241="",D241=""),"",E241-D241)</f>
        <v/>
      </c>
      <c r="G241" s="27"/>
      <c r="H241" s="27"/>
    </row>
    <row r="242" customFormat="false" ht="15" hidden="false" customHeight="false" outlineLevel="0" collapsed="false">
      <c r="A242" s="25"/>
      <c r="B242" s="14"/>
      <c r="C242" s="20" t="str">
        <f aca="false">IF(B242="","",IFERROR(INDEX(品項與安全庫存!$C$5:$C$104,MATCH(B242,品項與安全庫存!$A$5:$A$104,0)),""))</f>
        <v/>
      </c>
      <c r="D242" s="19" t="str">
        <f aca="false">IF(B242="","",IFERROR(INDEX(品項與安全庫存!$J$5:$J$104,MATCH(B242,品項與安全庫存!$A$5:$A$104,0)),""))</f>
        <v/>
      </c>
      <c r="E242" s="18"/>
      <c r="F242" s="26" t="str">
        <f aca="false">IF(OR(E242="",D242=""),"",E242-D242)</f>
        <v/>
      </c>
      <c r="G242" s="27"/>
      <c r="H242" s="27"/>
    </row>
    <row r="243" customFormat="false" ht="15" hidden="false" customHeight="false" outlineLevel="0" collapsed="false">
      <c r="A243" s="25"/>
      <c r="B243" s="14"/>
      <c r="C243" s="20" t="str">
        <f aca="false">IF(B243="","",IFERROR(INDEX(品項與安全庫存!$C$5:$C$104,MATCH(B243,品項與安全庫存!$A$5:$A$104,0)),""))</f>
        <v/>
      </c>
      <c r="D243" s="19" t="str">
        <f aca="false">IF(B243="","",IFERROR(INDEX(品項與安全庫存!$J$5:$J$104,MATCH(B243,品項與安全庫存!$A$5:$A$104,0)),""))</f>
        <v/>
      </c>
      <c r="E243" s="18"/>
      <c r="F243" s="26" t="str">
        <f aca="false">IF(OR(E243="",D243=""),"",E243-D243)</f>
        <v/>
      </c>
      <c r="G243" s="27"/>
      <c r="H243" s="27"/>
    </row>
    <row r="244" customFormat="false" ht="15" hidden="false" customHeight="false" outlineLevel="0" collapsed="false">
      <c r="A244" s="25"/>
      <c r="B244" s="14"/>
      <c r="C244" s="20" t="str">
        <f aca="false">IF(B244="","",IFERROR(INDEX(品項與安全庫存!$C$5:$C$104,MATCH(B244,品項與安全庫存!$A$5:$A$104,0)),""))</f>
        <v/>
      </c>
      <c r="D244" s="19" t="str">
        <f aca="false">IF(B244="","",IFERROR(INDEX(品項與安全庫存!$J$5:$J$104,MATCH(B244,品項與安全庫存!$A$5:$A$104,0)),""))</f>
        <v/>
      </c>
      <c r="E244" s="18"/>
      <c r="F244" s="26" t="str">
        <f aca="false">IF(OR(E244="",D244=""),"",E244-D244)</f>
        <v/>
      </c>
      <c r="G244" s="27"/>
      <c r="H244" s="27"/>
    </row>
    <row r="245" customFormat="false" ht="15" hidden="false" customHeight="false" outlineLevel="0" collapsed="false">
      <c r="A245" s="25"/>
      <c r="B245" s="14"/>
      <c r="C245" s="20" t="str">
        <f aca="false">IF(B245="","",IFERROR(INDEX(品項與安全庫存!$C$5:$C$104,MATCH(B245,品項與安全庫存!$A$5:$A$104,0)),""))</f>
        <v/>
      </c>
      <c r="D245" s="19" t="str">
        <f aca="false">IF(B245="","",IFERROR(INDEX(品項與安全庫存!$J$5:$J$104,MATCH(B245,品項與安全庫存!$A$5:$A$104,0)),""))</f>
        <v/>
      </c>
      <c r="E245" s="18"/>
      <c r="F245" s="26" t="str">
        <f aca="false">IF(OR(E245="",D245=""),"",E245-D245)</f>
        <v/>
      </c>
      <c r="G245" s="27"/>
      <c r="H245" s="27"/>
    </row>
    <row r="246" customFormat="false" ht="15" hidden="false" customHeight="false" outlineLevel="0" collapsed="false">
      <c r="A246" s="25"/>
      <c r="B246" s="14"/>
      <c r="C246" s="20" t="str">
        <f aca="false">IF(B246="","",IFERROR(INDEX(品項與安全庫存!$C$5:$C$104,MATCH(B246,品項與安全庫存!$A$5:$A$104,0)),""))</f>
        <v/>
      </c>
      <c r="D246" s="19" t="str">
        <f aca="false">IF(B246="","",IFERROR(INDEX(品項與安全庫存!$J$5:$J$104,MATCH(B246,品項與安全庫存!$A$5:$A$104,0)),""))</f>
        <v/>
      </c>
      <c r="E246" s="18"/>
      <c r="F246" s="26" t="str">
        <f aca="false">IF(OR(E246="",D246=""),"",E246-D246)</f>
        <v/>
      </c>
      <c r="G246" s="27"/>
      <c r="H246" s="27"/>
    </row>
    <row r="247" customFormat="false" ht="15" hidden="false" customHeight="false" outlineLevel="0" collapsed="false">
      <c r="A247" s="25"/>
      <c r="B247" s="14"/>
      <c r="C247" s="20" t="str">
        <f aca="false">IF(B247="","",IFERROR(INDEX(品項與安全庫存!$C$5:$C$104,MATCH(B247,品項與安全庫存!$A$5:$A$104,0)),""))</f>
        <v/>
      </c>
      <c r="D247" s="19" t="str">
        <f aca="false">IF(B247="","",IFERROR(INDEX(品項與安全庫存!$J$5:$J$104,MATCH(B247,品項與安全庫存!$A$5:$A$104,0)),""))</f>
        <v/>
      </c>
      <c r="E247" s="18"/>
      <c r="F247" s="26" t="str">
        <f aca="false">IF(OR(E247="",D247=""),"",E247-D247)</f>
        <v/>
      </c>
      <c r="G247" s="27"/>
      <c r="H247" s="27"/>
    </row>
    <row r="248" customFormat="false" ht="15" hidden="false" customHeight="false" outlineLevel="0" collapsed="false">
      <c r="A248" s="25"/>
      <c r="B248" s="14"/>
      <c r="C248" s="20" t="str">
        <f aca="false">IF(B248="","",IFERROR(INDEX(品項與安全庫存!$C$5:$C$104,MATCH(B248,品項與安全庫存!$A$5:$A$104,0)),""))</f>
        <v/>
      </c>
      <c r="D248" s="19" t="str">
        <f aca="false">IF(B248="","",IFERROR(INDEX(品項與安全庫存!$J$5:$J$104,MATCH(B248,品項與安全庫存!$A$5:$A$104,0)),""))</f>
        <v/>
      </c>
      <c r="E248" s="18"/>
      <c r="F248" s="26" t="str">
        <f aca="false">IF(OR(E248="",D248=""),"",E248-D248)</f>
        <v/>
      </c>
      <c r="G248" s="27"/>
      <c r="H248" s="27"/>
    </row>
    <row r="249" customFormat="false" ht="15" hidden="false" customHeight="false" outlineLevel="0" collapsed="false">
      <c r="A249" s="25"/>
      <c r="B249" s="14"/>
      <c r="C249" s="20" t="str">
        <f aca="false">IF(B249="","",IFERROR(INDEX(品項與安全庫存!$C$5:$C$104,MATCH(B249,品項與安全庫存!$A$5:$A$104,0)),""))</f>
        <v/>
      </c>
      <c r="D249" s="19" t="str">
        <f aca="false">IF(B249="","",IFERROR(INDEX(品項與安全庫存!$J$5:$J$104,MATCH(B249,品項與安全庫存!$A$5:$A$104,0)),""))</f>
        <v/>
      </c>
      <c r="E249" s="18"/>
      <c r="F249" s="26" t="str">
        <f aca="false">IF(OR(E249="",D249=""),"",E249-D249)</f>
        <v/>
      </c>
      <c r="G249" s="27"/>
      <c r="H249" s="27"/>
    </row>
    <row r="250" customFormat="false" ht="15" hidden="false" customHeight="false" outlineLevel="0" collapsed="false">
      <c r="A250" s="25"/>
      <c r="B250" s="14"/>
      <c r="C250" s="20" t="str">
        <f aca="false">IF(B250="","",IFERROR(INDEX(品項與安全庫存!$C$5:$C$104,MATCH(B250,品項與安全庫存!$A$5:$A$104,0)),""))</f>
        <v/>
      </c>
      <c r="D250" s="19" t="str">
        <f aca="false">IF(B250="","",IFERROR(INDEX(品項與安全庫存!$J$5:$J$104,MATCH(B250,品項與安全庫存!$A$5:$A$104,0)),""))</f>
        <v/>
      </c>
      <c r="E250" s="18"/>
      <c r="F250" s="26" t="str">
        <f aca="false">IF(OR(E250="",D250=""),"",E250-D250)</f>
        <v/>
      </c>
      <c r="G250" s="27"/>
      <c r="H250" s="27"/>
    </row>
    <row r="251" customFormat="false" ht="15" hidden="false" customHeight="false" outlineLevel="0" collapsed="false">
      <c r="A251" s="25"/>
      <c r="B251" s="14"/>
      <c r="C251" s="20" t="str">
        <f aca="false">IF(B251="","",IFERROR(INDEX(品項與安全庫存!$C$5:$C$104,MATCH(B251,品項與安全庫存!$A$5:$A$104,0)),""))</f>
        <v/>
      </c>
      <c r="D251" s="19" t="str">
        <f aca="false">IF(B251="","",IFERROR(INDEX(品項與安全庫存!$J$5:$J$104,MATCH(B251,品項與安全庫存!$A$5:$A$104,0)),""))</f>
        <v/>
      </c>
      <c r="E251" s="18"/>
      <c r="F251" s="26" t="str">
        <f aca="false">IF(OR(E251="",D251=""),"",E251-D251)</f>
        <v/>
      </c>
      <c r="G251" s="27"/>
      <c r="H251" s="27"/>
    </row>
    <row r="252" customFormat="false" ht="15" hidden="false" customHeight="false" outlineLevel="0" collapsed="false">
      <c r="A252" s="25"/>
      <c r="B252" s="14"/>
      <c r="C252" s="20" t="str">
        <f aca="false">IF(B252="","",IFERROR(INDEX(品項與安全庫存!$C$5:$C$104,MATCH(B252,品項與安全庫存!$A$5:$A$104,0)),""))</f>
        <v/>
      </c>
      <c r="D252" s="19" t="str">
        <f aca="false">IF(B252="","",IFERROR(INDEX(品項與安全庫存!$J$5:$J$104,MATCH(B252,品項與安全庫存!$A$5:$A$104,0)),""))</f>
        <v/>
      </c>
      <c r="E252" s="18"/>
      <c r="F252" s="26" t="str">
        <f aca="false">IF(OR(E252="",D252=""),"",E252-D252)</f>
        <v/>
      </c>
      <c r="G252" s="27"/>
      <c r="H252" s="27"/>
    </row>
    <row r="253" customFormat="false" ht="15" hidden="false" customHeight="false" outlineLevel="0" collapsed="false">
      <c r="A253" s="25"/>
      <c r="B253" s="14"/>
      <c r="C253" s="20" t="str">
        <f aca="false">IF(B253="","",IFERROR(INDEX(品項與安全庫存!$C$5:$C$104,MATCH(B253,品項與安全庫存!$A$5:$A$104,0)),""))</f>
        <v/>
      </c>
      <c r="D253" s="19" t="str">
        <f aca="false">IF(B253="","",IFERROR(INDEX(品項與安全庫存!$J$5:$J$104,MATCH(B253,品項與安全庫存!$A$5:$A$104,0)),""))</f>
        <v/>
      </c>
      <c r="E253" s="18"/>
      <c r="F253" s="26" t="str">
        <f aca="false">IF(OR(E253="",D253=""),"",E253-D253)</f>
        <v/>
      </c>
      <c r="G253" s="27"/>
      <c r="H253" s="27"/>
    </row>
    <row r="254" customFormat="false" ht="15" hidden="false" customHeight="false" outlineLevel="0" collapsed="false">
      <c r="A254" s="25"/>
      <c r="B254" s="14"/>
      <c r="C254" s="20" t="str">
        <f aca="false">IF(B254="","",IFERROR(INDEX(品項與安全庫存!$C$5:$C$104,MATCH(B254,品項與安全庫存!$A$5:$A$104,0)),""))</f>
        <v/>
      </c>
      <c r="D254" s="19" t="str">
        <f aca="false">IF(B254="","",IFERROR(INDEX(品項與安全庫存!$J$5:$J$104,MATCH(B254,品項與安全庫存!$A$5:$A$104,0)),""))</f>
        <v/>
      </c>
      <c r="E254" s="18"/>
      <c r="F254" s="26" t="str">
        <f aca="false">IF(OR(E254="",D254=""),"",E254-D254)</f>
        <v/>
      </c>
      <c r="G254" s="27"/>
      <c r="H254" s="27"/>
    </row>
    <row r="255" customFormat="false" ht="15" hidden="false" customHeight="false" outlineLevel="0" collapsed="false">
      <c r="A255" s="25"/>
      <c r="B255" s="14"/>
      <c r="C255" s="20" t="str">
        <f aca="false">IF(B255="","",IFERROR(INDEX(品項與安全庫存!$C$5:$C$104,MATCH(B255,品項與安全庫存!$A$5:$A$104,0)),""))</f>
        <v/>
      </c>
      <c r="D255" s="19" t="str">
        <f aca="false">IF(B255="","",IFERROR(INDEX(品項與安全庫存!$J$5:$J$104,MATCH(B255,品項與安全庫存!$A$5:$A$104,0)),""))</f>
        <v/>
      </c>
      <c r="E255" s="18"/>
      <c r="F255" s="26" t="str">
        <f aca="false">IF(OR(E255="",D255=""),"",E255-D255)</f>
        <v/>
      </c>
      <c r="G255" s="27"/>
      <c r="H255" s="27"/>
    </row>
    <row r="256" customFormat="false" ht="15" hidden="false" customHeight="false" outlineLevel="0" collapsed="false">
      <c r="A256" s="25"/>
      <c r="B256" s="14"/>
      <c r="C256" s="20" t="str">
        <f aca="false">IF(B256="","",IFERROR(INDEX(品項與安全庫存!$C$5:$C$104,MATCH(B256,品項與安全庫存!$A$5:$A$104,0)),""))</f>
        <v/>
      </c>
      <c r="D256" s="19" t="str">
        <f aca="false">IF(B256="","",IFERROR(INDEX(品項與安全庫存!$J$5:$J$104,MATCH(B256,品項與安全庫存!$A$5:$A$104,0)),""))</f>
        <v/>
      </c>
      <c r="E256" s="18"/>
      <c r="F256" s="26" t="str">
        <f aca="false">IF(OR(E256="",D256=""),"",E256-D256)</f>
        <v/>
      </c>
      <c r="G256" s="27"/>
      <c r="H256" s="27"/>
    </row>
    <row r="257" customFormat="false" ht="15" hidden="false" customHeight="false" outlineLevel="0" collapsed="false">
      <c r="A257" s="25"/>
      <c r="B257" s="14"/>
      <c r="C257" s="20" t="str">
        <f aca="false">IF(B257="","",IFERROR(INDEX(品項與安全庫存!$C$5:$C$104,MATCH(B257,品項與安全庫存!$A$5:$A$104,0)),""))</f>
        <v/>
      </c>
      <c r="D257" s="19" t="str">
        <f aca="false">IF(B257="","",IFERROR(INDEX(品項與安全庫存!$J$5:$J$104,MATCH(B257,品項與安全庫存!$A$5:$A$104,0)),""))</f>
        <v/>
      </c>
      <c r="E257" s="18"/>
      <c r="F257" s="26" t="str">
        <f aca="false">IF(OR(E257="",D257=""),"",E257-D257)</f>
        <v/>
      </c>
      <c r="G257" s="27"/>
      <c r="H257" s="27"/>
    </row>
    <row r="258" customFormat="false" ht="15" hidden="false" customHeight="false" outlineLevel="0" collapsed="false">
      <c r="A258" s="25"/>
      <c r="B258" s="14"/>
      <c r="C258" s="20" t="str">
        <f aca="false">IF(B258="","",IFERROR(INDEX(品項與安全庫存!$C$5:$C$104,MATCH(B258,品項與安全庫存!$A$5:$A$104,0)),""))</f>
        <v/>
      </c>
      <c r="D258" s="19" t="str">
        <f aca="false">IF(B258="","",IFERROR(INDEX(品項與安全庫存!$J$5:$J$104,MATCH(B258,品項與安全庫存!$A$5:$A$104,0)),""))</f>
        <v/>
      </c>
      <c r="E258" s="18"/>
      <c r="F258" s="26" t="str">
        <f aca="false">IF(OR(E258="",D258=""),"",E258-D258)</f>
        <v/>
      </c>
      <c r="G258" s="27"/>
      <c r="H258" s="27"/>
    </row>
    <row r="259" customFormat="false" ht="15" hidden="false" customHeight="false" outlineLevel="0" collapsed="false">
      <c r="A259" s="25"/>
      <c r="B259" s="14"/>
      <c r="C259" s="20" t="str">
        <f aca="false">IF(B259="","",IFERROR(INDEX(品項與安全庫存!$C$5:$C$104,MATCH(B259,品項與安全庫存!$A$5:$A$104,0)),""))</f>
        <v/>
      </c>
      <c r="D259" s="19" t="str">
        <f aca="false">IF(B259="","",IFERROR(INDEX(品項與安全庫存!$J$5:$J$104,MATCH(B259,品項與安全庫存!$A$5:$A$104,0)),""))</f>
        <v/>
      </c>
      <c r="E259" s="18"/>
      <c r="F259" s="26" t="str">
        <f aca="false">IF(OR(E259="",D259=""),"",E259-D259)</f>
        <v/>
      </c>
      <c r="G259" s="27"/>
      <c r="H259" s="27"/>
    </row>
    <row r="260" customFormat="false" ht="15" hidden="false" customHeight="false" outlineLevel="0" collapsed="false">
      <c r="A260" s="25"/>
      <c r="B260" s="14"/>
      <c r="C260" s="20" t="str">
        <f aca="false">IF(B260="","",IFERROR(INDEX(品項與安全庫存!$C$5:$C$104,MATCH(B260,品項與安全庫存!$A$5:$A$104,0)),""))</f>
        <v/>
      </c>
      <c r="D260" s="19" t="str">
        <f aca="false">IF(B260="","",IFERROR(INDEX(品項與安全庫存!$J$5:$J$104,MATCH(B260,品項與安全庫存!$A$5:$A$104,0)),""))</f>
        <v/>
      </c>
      <c r="E260" s="18"/>
      <c r="F260" s="26" t="str">
        <f aca="false">IF(OR(E260="",D260=""),"",E260-D260)</f>
        <v/>
      </c>
      <c r="G260" s="27"/>
      <c r="H260" s="27"/>
    </row>
    <row r="261" customFormat="false" ht="15" hidden="false" customHeight="false" outlineLevel="0" collapsed="false">
      <c r="A261" s="25"/>
      <c r="B261" s="14"/>
      <c r="C261" s="20" t="str">
        <f aca="false">IF(B261="","",IFERROR(INDEX(品項與安全庫存!$C$5:$C$104,MATCH(B261,品項與安全庫存!$A$5:$A$104,0)),""))</f>
        <v/>
      </c>
      <c r="D261" s="19" t="str">
        <f aca="false">IF(B261="","",IFERROR(INDEX(品項與安全庫存!$J$5:$J$104,MATCH(B261,品項與安全庫存!$A$5:$A$104,0)),""))</f>
        <v/>
      </c>
      <c r="E261" s="18"/>
      <c r="F261" s="26" t="str">
        <f aca="false">IF(OR(E261="",D261=""),"",E261-D261)</f>
        <v/>
      </c>
      <c r="G261" s="27"/>
      <c r="H261" s="27"/>
    </row>
    <row r="262" customFormat="false" ht="15" hidden="false" customHeight="false" outlineLevel="0" collapsed="false">
      <c r="A262" s="25"/>
      <c r="B262" s="14"/>
      <c r="C262" s="20" t="str">
        <f aca="false">IF(B262="","",IFERROR(INDEX(品項與安全庫存!$C$5:$C$104,MATCH(B262,品項與安全庫存!$A$5:$A$104,0)),""))</f>
        <v/>
      </c>
      <c r="D262" s="19" t="str">
        <f aca="false">IF(B262="","",IFERROR(INDEX(品項與安全庫存!$J$5:$J$104,MATCH(B262,品項與安全庫存!$A$5:$A$104,0)),""))</f>
        <v/>
      </c>
      <c r="E262" s="18"/>
      <c r="F262" s="26" t="str">
        <f aca="false">IF(OR(E262="",D262=""),"",E262-D262)</f>
        <v/>
      </c>
      <c r="G262" s="27"/>
      <c r="H262" s="27"/>
    </row>
    <row r="263" customFormat="false" ht="15" hidden="false" customHeight="false" outlineLevel="0" collapsed="false">
      <c r="A263" s="25"/>
      <c r="B263" s="14"/>
      <c r="C263" s="20" t="str">
        <f aca="false">IF(B263="","",IFERROR(INDEX(品項與安全庫存!$C$5:$C$104,MATCH(B263,品項與安全庫存!$A$5:$A$104,0)),""))</f>
        <v/>
      </c>
      <c r="D263" s="19" t="str">
        <f aca="false">IF(B263="","",IFERROR(INDEX(品項與安全庫存!$J$5:$J$104,MATCH(B263,品項與安全庫存!$A$5:$A$104,0)),""))</f>
        <v/>
      </c>
      <c r="E263" s="18"/>
      <c r="F263" s="26" t="str">
        <f aca="false">IF(OR(E263="",D263=""),"",E263-D263)</f>
        <v/>
      </c>
      <c r="G263" s="27"/>
      <c r="H263" s="27"/>
    </row>
    <row r="264" customFormat="false" ht="15" hidden="false" customHeight="false" outlineLevel="0" collapsed="false">
      <c r="A264" s="25"/>
      <c r="B264" s="14"/>
      <c r="C264" s="20" t="str">
        <f aca="false">IF(B264="","",IFERROR(INDEX(品項與安全庫存!$C$5:$C$104,MATCH(B264,品項與安全庫存!$A$5:$A$104,0)),""))</f>
        <v/>
      </c>
      <c r="D264" s="19" t="str">
        <f aca="false">IF(B264="","",IFERROR(INDEX(品項與安全庫存!$J$5:$J$104,MATCH(B264,品項與安全庫存!$A$5:$A$104,0)),""))</f>
        <v/>
      </c>
      <c r="E264" s="18"/>
      <c r="F264" s="26" t="str">
        <f aca="false">IF(OR(E264="",D264=""),"",E264-D264)</f>
        <v/>
      </c>
      <c r="G264" s="27"/>
      <c r="H264" s="27"/>
    </row>
    <row r="265" customFormat="false" ht="15" hidden="false" customHeight="false" outlineLevel="0" collapsed="false">
      <c r="A265" s="25"/>
      <c r="B265" s="14"/>
      <c r="C265" s="20" t="str">
        <f aca="false">IF(B265="","",IFERROR(INDEX(品項與安全庫存!$C$5:$C$104,MATCH(B265,品項與安全庫存!$A$5:$A$104,0)),""))</f>
        <v/>
      </c>
      <c r="D265" s="19" t="str">
        <f aca="false">IF(B265="","",IFERROR(INDEX(品項與安全庫存!$J$5:$J$104,MATCH(B265,品項與安全庫存!$A$5:$A$104,0)),""))</f>
        <v/>
      </c>
      <c r="E265" s="18"/>
      <c r="F265" s="26" t="str">
        <f aca="false">IF(OR(E265="",D265=""),"",E265-D265)</f>
        <v/>
      </c>
      <c r="G265" s="27"/>
      <c r="H265" s="27"/>
    </row>
    <row r="266" customFormat="false" ht="15" hidden="false" customHeight="false" outlineLevel="0" collapsed="false">
      <c r="A266" s="25"/>
      <c r="B266" s="14"/>
      <c r="C266" s="20" t="str">
        <f aca="false">IF(B266="","",IFERROR(INDEX(品項與安全庫存!$C$5:$C$104,MATCH(B266,品項與安全庫存!$A$5:$A$104,0)),""))</f>
        <v/>
      </c>
      <c r="D266" s="19" t="str">
        <f aca="false">IF(B266="","",IFERROR(INDEX(品項與安全庫存!$J$5:$J$104,MATCH(B266,品項與安全庫存!$A$5:$A$104,0)),""))</f>
        <v/>
      </c>
      <c r="E266" s="18"/>
      <c r="F266" s="26" t="str">
        <f aca="false">IF(OR(E266="",D266=""),"",E266-D266)</f>
        <v/>
      </c>
      <c r="G266" s="27"/>
      <c r="H266" s="27"/>
    </row>
    <row r="267" customFormat="false" ht="15" hidden="false" customHeight="false" outlineLevel="0" collapsed="false">
      <c r="A267" s="25"/>
      <c r="B267" s="14"/>
      <c r="C267" s="20" t="str">
        <f aca="false">IF(B267="","",IFERROR(INDEX(品項與安全庫存!$C$5:$C$104,MATCH(B267,品項與安全庫存!$A$5:$A$104,0)),""))</f>
        <v/>
      </c>
      <c r="D267" s="19" t="str">
        <f aca="false">IF(B267="","",IFERROR(INDEX(品項與安全庫存!$J$5:$J$104,MATCH(B267,品項與安全庫存!$A$5:$A$104,0)),""))</f>
        <v/>
      </c>
      <c r="E267" s="18"/>
      <c r="F267" s="26" t="str">
        <f aca="false">IF(OR(E267="",D267=""),"",E267-D267)</f>
        <v/>
      </c>
      <c r="G267" s="27"/>
      <c r="H267" s="27"/>
    </row>
    <row r="268" customFormat="false" ht="15" hidden="false" customHeight="false" outlineLevel="0" collapsed="false">
      <c r="A268" s="25"/>
      <c r="B268" s="14"/>
      <c r="C268" s="20" t="str">
        <f aca="false">IF(B268="","",IFERROR(INDEX(品項與安全庫存!$C$5:$C$104,MATCH(B268,品項與安全庫存!$A$5:$A$104,0)),""))</f>
        <v/>
      </c>
      <c r="D268" s="19" t="str">
        <f aca="false">IF(B268="","",IFERROR(INDEX(品項與安全庫存!$J$5:$J$104,MATCH(B268,品項與安全庫存!$A$5:$A$104,0)),""))</f>
        <v/>
      </c>
      <c r="E268" s="18"/>
      <c r="F268" s="26" t="str">
        <f aca="false">IF(OR(E268="",D268=""),"",E268-D268)</f>
        <v/>
      </c>
      <c r="G268" s="27"/>
      <c r="H268" s="27"/>
    </row>
    <row r="269" customFormat="false" ht="15" hidden="false" customHeight="false" outlineLevel="0" collapsed="false">
      <c r="A269" s="25"/>
      <c r="B269" s="14"/>
      <c r="C269" s="20" t="str">
        <f aca="false">IF(B269="","",IFERROR(INDEX(品項與安全庫存!$C$5:$C$104,MATCH(B269,品項與安全庫存!$A$5:$A$104,0)),""))</f>
        <v/>
      </c>
      <c r="D269" s="19" t="str">
        <f aca="false">IF(B269="","",IFERROR(INDEX(品項與安全庫存!$J$5:$J$104,MATCH(B269,品項與安全庫存!$A$5:$A$104,0)),""))</f>
        <v/>
      </c>
      <c r="E269" s="18"/>
      <c r="F269" s="26" t="str">
        <f aca="false">IF(OR(E269="",D269=""),"",E269-D269)</f>
        <v/>
      </c>
      <c r="G269" s="27"/>
      <c r="H269" s="27"/>
    </row>
    <row r="270" customFormat="false" ht="15" hidden="false" customHeight="false" outlineLevel="0" collapsed="false">
      <c r="A270" s="25"/>
      <c r="B270" s="14"/>
      <c r="C270" s="20" t="str">
        <f aca="false">IF(B270="","",IFERROR(INDEX(品項與安全庫存!$C$5:$C$104,MATCH(B270,品項與安全庫存!$A$5:$A$104,0)),""))</f>
        <v/>
      </c>
      <c r="D270" s="19" t="str">
        <f aca="false">IF(B270="","",IFERROR(INDEX(品項與安全庫存!$J$5:$J$104,MATCH(B270,品項與安全庫存!$A$5:$A$104,0)),""))</f>
        <v/>
      </c>
      <c r="E270" s="18"/>
      <c r="F270" s="26" t="str">
        <f aca="false">IF(OR(E270="",D270=""),"",E270-D270)</f>
        <v/>
      </c>
      <c r="G270" s="27"/>
      <c r="H270" s="27"/>
    </row>
    <row r="271" customFormat="false" ht="15" hidden="false" customHeight="false" outlineLevel="0" collapsed="false">
      <c r="A271" s="25"/>
      <c r="B271" s="14"/>
      <c r="C271" s="20" t="str">
        <f aca="false">IF(B271="","",IFERROR(INDEX(品項與安全庫存!$C$5:$C$104,MATCH(B271,品項與安全庫存!$A$5:$A$104,0)),""))</f>
        <v/>
      </c>
      <c r="D271" s="19" t="str">
        <f aca="false">IF(B271="","",IFERROR(INDEX(品項與安全庫存!$J$5:$J$104,MATCH(B271,品項與安全庫存!$A$5:$A$104,0)),""))</f>
        <v/>
      </c>
      <c r="E271" s="18"/>
      <c r="F271" s="26" t="str">
        <f aca="false">IF(OR(E271="",D271=""),"",E271-D271)</f>
        <v/>
      </c>
      <c r="G271" s="27"/>
      <c r="H271" s="27"/>
    </row>
    <row r="272" customFormat="false" ht="15" hidden="false" customHeight="false" outlineLevel="0" collapsed="false">
      <c r="A272" s="25"/>
      <c r="B272" s="14"/>
      <c r="C272" s="20" t="str">
        <f aca="false">IF(B272="","",IFERROR(INDEX(品項與安全庫存!$C$5:$C$104,MATCH(B272,品項與安全庫存!$A$5:$A$104,0)),""))</f>
        <v/>
      </c>
      <c r="D272" s="19" t="str">
        <f aca="false">IF(B272="","",IFERROR(INDEX(品項與安全庫存!$J$5:$J$104,MATCH(B272,品項與安全庫存!$A$5:$A$104,0)),""))</f>
        <v/>
      </c>
      <c r="E272" s="18"/>
      <c r="F272" s="26" t="str">
        <f aca="false">IF(OR(E272="",D272=""),"",E272-D272)</f>
        <v/>
      </c>
      <c r="G272" s="27"/>
      <c r="H272" s="27"/>
    </row>
    <row r="273" customFormat="false" ht="15" hidden="false" customHeight="false" outlineLevel="0" collapsed="false">
      <c r="A273" s="25"/>
      <c r="B273" s="14"/>
      <c r="C273" s="20" t="str">
        <f aca="false">IF(B273="","",IFERROR(INDEX(品項與安全庫存!$C$5:$C$104,MATCH(B273,品項與安全庫存!$A$5:$A$104,0)),""))</f>
        <v/>
      </c>
      <c r="D273" s="19" t="str">
        <f aca="false">IF(B273="","",IFERROR(INDEX(品項與安全庫存!$J$5:$J$104,MATCH(B273,品項與安全庫存!$A$5:$A$104,0)),""))</f>
        <v/>
      </c>
      <c r="E273" s="18"/>
      <c r="F273" s="26" t="str">
        <f aca="false">IF(OR(E273="",D273=""),"",E273-D273)</f>
        <v/>
      </c>
      <c r="G273" s="27"/>
      <c r="H273" s="27"/>
    </row>
    <row r="274" customFormat="false" ht="15" hidden="false" customHeight="false" outlineLevel="0" collapsed="false">
      <c r="A274" s="25"/>
      <c r="B274" s="14"/>
      <c r="C274" s="20" t="str">
        <f aca="false">IF(B274="","",IFERROR(INDEX(品項與安全庫存!$C$5:$C$104,MATCH(B274,品項與安全庫存!$A$5:$A$104,0)),""))</f>
        <v/>
      </c>
      <c r="D274" s="19" t="str">
        <f aca="false">IF(B274="","",IFERROR(INDEX(品項與安全庫存!$J$5:$J$104,MATCH(B274,品項與安全庫存!$A$5:$A$104,0)),""))</f>
        <v/>
      </c>
      <c r="E274" s="18"/>
      <c r="F274" s="26" t="str">
        <f aca="false">IF(OR(E274="",D274=""),"",E274-D274)</f>
        <v/>
      </c>
      <c r="G274" s="27"/>
      <c r="H274" s="27"/>
    </row>
    <row r="275" customFormat="false" ht="15" hidden="false" customHeight="false" outlineLevel="0" collapsed="false">
      <c r="A275" s="25"/>
      <c r="B275" s="14"/>
      <c r="C275" s="20" t="str">
        <f aca="false">IF(B275="","",IFERROR(INDEX(品項與安全庫存!$C$5:$C$104,MATCH(B275,品項與安全庫存!$A$5:$A$104,0)),""))</f>
        <v/>
      </c>
      <c r="D275" s="19" t="str">
        <f aca="false">IF(B275="","",IFERROR(INDEX(品項與安全庫存!$J$5:$J$104,MATCH(B275,品項與安全庫存!$A$5:$A$104,0)),""))</f>
        <v/>
      </c>
      <c r="E275" s="18"/>
      <c r="F275" s="26" t="str">
        <f aca="false">IF(OR(E275="",D275=""),"",E275-D275)</f>
        <v/>
      </c>
      <c r="G275" s="27"/>
      <c r="H275" s="27"/>
    </row>
    <row r="276" customFormat="false" ht="15" hidden="false" customHeight="false" outlineLevel="0" collapsed="false">
      <c r="A276" s="25"/>
      <c r="B276" s="14"/>
      <c r="C276" s="20" t="str">
        <f aca="false">IF(B276="","",IFERROR(INDEX(品項與安全庫存!$C$5:$C$104,MATCH(B276,品項與安全庫存!$A$5:$A$104,0)),""))</f>
        <v/>
      </c>
      <c r="D276" s="19" t="str">
        <f aca="false">IF(B276="","",IFERROR(INDEX(品項與安全庫存!$J$5:$J$104,MATCH(B276,品項與安全庫存!$A$5:$A$104,0)),""))</f>
        <v/>
      </c>
      <c r="E276" s="18"/>
      <c r="F276" s="26" t="str">
        <f aca="false">IF(OR(E276="",D276=""),"",E276-D276)</f>
        <v/>
      </c>
      <c r="G276" s="27"/>
      <c r="H276" s="27"/>
    </row>
    <row r="277" customFormat="false" ht="15" hidden="false" customHeight="false" outlineLevel="0" collapsed="false">
      <c r="A277" s="25"/>
      <c r="B277" s="14"/>
      <c r="C277" s="20" t="str">
        <f aca="false">IF(B277="","",IFERROR(INDEX(品項與安全庫存!$C$5:$C$104,MATCH(B277,品項與安全庫存!$A$5:$A$104,0)),""))</f>
        <v/>
      </c>
      <c r="D277" s="19" t="str">
        <f aca="false">IF(B277="","",IFERROR(INDEX(品項與安全庫存!$J$5:$J$104,MATCH(B277,品項與安全庫存!$A$5:$A$104,0)),""))</f>
        <v/>
      </c>
      <c r="E277" s="18"/>
      <c r="F277" s="26" t="str">
        <f aca="false">IF(OR(E277="",D277=""),"",E277-D277)</f>
        <v/>
      </c>
      <c r="G277" s="27"/>
      <c r="H277" s="27"/>
    </row>
    <row r="278" customFormat="false" ht="15" hidden="false" customHeight="false" outlineLevel="0" collapsed="false">
      <c r="A278" s="25"/>
      <c r="B278" s="14"/>
      <c r="C278" s="20" t="str">
        <f aca="false">IF(B278="","",IFERROR(INDEX(品項與安全庫存!$C$5:$C$104,MATCH(B278,品項與安全庫存!$A$5:$A$104,0)),""))</f>
        <v/>
      </c>
      <c r="D278" s="19" t="str">
        <f aca="false">IF(B278="","",IFERROR(INDEX(品項與安全庫存!$J$5:$J$104,MATCH(B278,品項與安全庫存!$A$5:$A$104,0)),""))</f>
        <v/>
      </c>
      <c r="E278" s="18"/>
      <c r="F278" s="26" t="str">
        <f aca="false">IF(OR(E278="",D278=""),"",E278-D278)</f>
        <v/>
      </c>
      <c r="G278" s="27"/>
      <c r="H278" s="27"/>
    </row>
    <row r="279" customFormat="false" ht="15" hidden="false" customHeight="false" outlineLevel="0" collapsed="false">
      <c r="A279" s="25"/>
      <c r="B279" s="14"/>
      <c r="C279" s="20" t="str">
        <f aca="false">IF(B279="","",IFERROR(INDEX(品項與安全庫存!$C$5:$C$104,MATCH(B279,品項與安全庫存!$A$5:$A$104,0)),""))</f>
        <v/>
      </c>
      <c r="D279" s="19" t="str">
        <f aca="false">IF(B279="","",IFERROR(INDEX(品項與安全庫存!$J$5:$J$104,MATCH(B279,品項與安全庫存!$A$5:$A$104,0)),""))</f>
        <v/>
      </c>
      <c r="E279" s="18"/>
      <c r="F279" s="26" t="str">
        <f aca="false">IF(OR(E279="",D279=""),"",E279-D279)</f>
        <v/>
      </c>
      <c r="G279" s="27"/>
      <c r="H279" s="27"/>
    </row>
    <row r="280" customFormat="false" ht="15" hidden="false" customHeight="false" outlineLevel="0" collapsed="false">
      <c r="A280" s="25"/>
      <c r="B280" s="14"/>
      <c r="C280" s="20" t="str">
        <f aca="false">IF(B280="","",IFERROR(INDEX(品項與安全庫存!$C$5:$C$104,MATCH(B280,品項與安全庫存!$A$5:$A$104,0)),""))</f>
        <v/>
      </c>
      <c r="D280" s="19" t="str">
        <f aca="false">IF(B280="","",IFERROR(INDEX(品項與安全庫存!$J$5:$J$104,MATCH(B280,品項與安全庫存!$A$5:$A$104,0)),""))</f>
        <v/>
      </c>
      <c r="E280" s="18"/>
      <c r="F280" s="26" t="str">
        <f aca="false">IF(OR(E280="",D280=""),"",E280-D280)</f>
        <v/>
      </c>
      <c r="G280" s="27"/>
      <c r="H280" s="27"/>
    </row>
    <row r="281" customFormat="false" ht="15" hidden="false" customHeight="false" outlineLevel="0" collapsed="false">
      <c r="A281" s="25"/>
      <c r="B281" s="14"/>
      <c r="C281" s="20" t="str">
        <f aca="false">IF(B281="","",IFERROR(INDEX(品項與安全庫存!$C$5:$C$104,MATCH(B281,品項與安全庫存!$A$5:$A$104,0)),""))</f>
        <v/>
      </c>
      <c r="D281" s="19" t="str">
        <f aca="false">IF(B281="","",IFERROR(INDEX(品項與安全庫存!$J$5:$J$104,MATCH(B281,品項與安全庫存!$A$5:$A$104,0)),""))</f>
        <v/>
      </c>
      <c r="E281" s="18"/>
      <c r="F281" s="26" t="str">
        <f aca="false">IF(OR(E281="",D281=""),"",E281-D281)</f>
        <v/>
      </c>
      <c r="G281" s="27"/>
      <c r="H281" s="27"/>
    </row>
    <row r="282" customFormat="false" ht="15" hidden="false" customHeight="false" outlineLevel="0" collapsed="false">
      <c r="A282" s="25"/>
      <c r="B282" s="14"/>
      <c r="C282" s="20" t="str">
        <f aca="false">IF(B282="","",IFERROR(INDEX(品項與安全庫存!$C$5:$C$104,MATCH(B282,品項與安全庫存!$A$5:$A$104,0)),""))</f>
        <v/>
      </c>
      <c r="D282" s="19" t="str">
        <f aca="false">IF(B282="","",IFERROR(INDEX(品項與安全庫存!$J$5:$J$104,MATCH(B282,品項與安全庫存!$A$5:$A$104,0)),""))</f>
        <v/>
      </c>
      <c r="E282" s="18"/>
      <c r="F282" s="26" t="str">
        <f aca="false">IF(OR(E282="",D282=""),"",E282-D282)</f>
        <v/>
      </c>
      <c r="G282" s="27"/>
      <c r="H282" s="27"/>
    </row>
    <row r="283" customFormat="false" ht="15" hidden="false" customHeight="false" outlineLevel="0" collapsed="false">
      <c r="A283" s="25"/>
      <c r="B283" s="14"/>
      <c r="C283" s="20" t="str">
        <f aca="false">IF(B283="","",IFERROR(INDEX(品項與安全庫存!$C$5:$C$104,MATCH(B283,品項與安全庫存!$A$5:$A$104,0)),""))</f>
        <v/>
      </c>
      <c r="D283" s="19" t="str">
        <f aca="false">IF(B283="","",IFERROR(INDEX(品項與安全庫存!$J$5:$J$104,MATCH(B283,品項與安全庫存!$A$5:$A$104,0)),""))</f>
        <v/>
      </c>
      <c r="E283" s="18"/>
      <c r="F283" s="26" t="str">
        <f aca="false">IF(OR(E283="",D283=""),"",E283-D283)</f>
        <v/>
      </c>
      <c r="G283" s="27"/>
      <c r="H283" s="27"/>
    </row>
    <row r="284" customFormat="false" ht="15" hidden="false" customHeight="false" outlineLevel="0" collapsed="false">
      <c r="A284" s="25"/>
      <c r="B284" s="14"/>
      <c r="C284" s="20" t="str">
        <f aca="false">IF(B284="","",IFERROR(INDEX(品項與安全庫存!$C$5:$C$104,MATCH(B284,品項與安全庫存!$A$5:$A$104,0)),""))</f>
        <v/>
      </c>
      <c r="D284" s="19" t="str">
        <f aca="false">IF(B284="","",IFERROR(INDEX(品項與安全庫存!$J$5:$J$104,MATCH(B284,品項與安全庫存!$A$5:$A$104,0)),""))</f>
        <v/>
      </c>
      <c r="E284" s="18"/>
      <c r="F284" s="26" t="str">
        <f aca="false">IF(OR(E284="",D284=""),"",E284-D284)</f>
        <v/>
      </c>
      <c r="G284" s="27"/>
      <c r="H284" s="27"/>
    </row>
    <row r="285" customFormat="false" ht="15" hidden="false" customHeight="false" outlineLevel="0" collapsed="false">
      <c r="A285" s="25"/>
      <c r="B285" s="14"/>
      <c r="C285" s="20" t="str">
        <f aca="false">IF(B285="","",IFERROR(INDEX(品項與安全庫存!$C$5:$C$104,MATCH(B285,品項與安全庫存!$A$5:$A$104,0)),""))</f>
        <v/>
      </c>
      <c r="D285" s="19" t="str">
        <f aca="false">IF(B285="","",IFERROR(INDEX(品項與安全庫存!$J$5:$J$104,MATCH(B285,品項與安全庫存!$A$5:$A$104,0)),""))</f>
        <v/>
      </c>
      <c r="E285" s="18"/>
      <c r="F285" s="26" t="str">
        <f aca="false">IF(OR(E285="",D285=""),"",E285-D285)</f>
        <v/>
      </c>
      <c r="G285" s="27"/>
      <c r="H285" s="27"/>
    </row>
    <row r="286" customFormat="false" ht="15" hidden="false" customHeight="false" outlineLevel="0" collapsed="false">
      <c r="A286" s="25"/>
      <c r="B286" s="14"/>
      <c r="C286" s="20" t="str">
        <f aca="false">IF(B286="","",IFERROR(INDEX(品項與安全庫存!$C$5:$C$104,MATCH(B286,品項與安全庫存!$A$5:$A$104,0)),""))</f>
        <v/>
      </c>
      <c r="D286" s="19" t="str">
        <f aca="false">IF(B286="","",IFERROR(INDEX(品項與安全庫存!$J$5:$J$104,MATCH(B286,品項與安全庫存!$A$5:$A$104,0)),""))</f>
        <v/>
      </c>
      <c r="E286" s="18"/>
      <c r="F286" s="26" t="str">
        <f aca="false">IF(OR(E286="",D286=""),"",E286-D286)</f>
        <v/>
      </c>
      <c r="G286" s="27"/>
      <c r="H286" s="27"/>
    </row>
    <row r="287" customFormat="false" ht="15" hidden="false" customHeight="false" outlineLevel="0" collapsed="false">
      <c r="A287" s="25"/>
      <c r="B287" s="14"/>
      <c r="C287" s="20" t="str">
        <f aca="false">IF(B287="","",IFERROR(INDEX(品項與安全庫存!$C$5:$C$104,MATCH(B287,品項與安全庫存!$A$5:$A$104,0)),""))</f>
        <v/>
      </c>
      <c r="D287" s="19" t="str">
        <f aca="false">IF(B287="","",IFERROR(INDEX(品項與安全庫存!$J$5:$J$104,MATCH(B287,品項與安全庫存!$A$5:$A$104,0)),""))</f>
        <v/>
      </c>
      <c r="E287" s="18"/>
      <c r="F287" s="26" t="str">
        <f aca="false">IF(OR(E287="",D287=""),"",E287-D287)</f>
        <v/>
      </c>
      <c r="G287" s="27"/>
      <c r="H287" s="27"/>
    </row>
    <row r="288" customFormat="false" ht="15" hidden="false" customHeight="false" outlineLevel="0" collapsed="false">
      <c r="A288" s="25"/>
      <c r="B288" s="14"/>
      <c r="C288" s="20" t="str">
        <f aca="false">IF(B288="","",IFERROR(INDEX(品項與安全庫存!$C$5:$C$104,MATCH(B288,品項與安全庫存!$A$5:$A$104,0)),""))</f>
        <v/>
      </c>
      <c r="D288" s="19" t="str">
        <f aca="false">IF(B288="","",IFERROR(INDEX(品項與安全庫存!$J$5:$J$104,MATCH(B288,品項與安全庫存!$A$5:$A$104,0)),""))</f>
        <v/>
      </c>
      <c r="E288" s="18"/>
      <c r="F288" s="26" t="str">
        <f aca="false">IF(OR(E288="",D288=""),"",E288-D288)</f>
        <v/>
      </c>
      <c r="G288" s="27"/>
      <c r="H288" s="27"/>
    </row>
    <row r="289" customFormat="false" ht="15" hidden="false" customHeight="false" outlineLevel="0" collapsed="false">
      <c r="A289" s="25"/>
      <c r="B289" s="14"/>
      <c r="C289" s="20" t="str">
        <f aca="false">IF(B289="","",IFERROR(INDEX(品項與安全庫存!$C$5:$C$104,MATCH(B289,品項與安全庫存!$A$5:$A$104,0)),""))</f>
        <v/>
      </c>
      <c r="D289" s="19" t="str">
        <f aca="false">IF(B289="","",IFERROR(INDEX(品項與安全庫存!$J$5:$J$104,MATCH(B289,品項與安全庫存!$A$5:$A$104,0)),""))</f>
        <v/>
      </c>
      <c r="E289" s="18"/>
      <c r="F289" s="26" t="str">
        <f aca="false">IF(OR(E289="",D289=""),"",E289-D289)</f>
        <v/>
      </c>
      <c r="G289" s="27"/>
      <c r="H289" s="27"/>
    </row>
    <row r="290" customFormat="false" ht="15" hidden="false" customHeight="false" outlineLevel="0" collapsed="false">
      <c r="A290" s="25"/>
      <c r="B290" s="14"/>
      <c r="C290" s="20" t="str">
        <f aca="false">IF(B290="","",IFERROR(INDEX(品項與安全庫存!$C$5:$C$104,MATCH(B290,品項與安全庫存!$A$5:$A$104,0)),""))</f>
        <v/>
      </c>
      <c r="D290" s="19" t="str">
        <f aca="false">IF(B290="","",IFERROR(INDEX(品項與安全庫存!$J$5:$J$104,MATCH(B290,品項與安全庫存!$A$5:$A$104,0)),""))</f>
        <v/>
      </c>
      <c r="E290" s="18"/>
      <c r="F290" s="26" t="str">
        <f aca="false">IF(OR(E290="",D290=""),"",E290-D290)</f>
        <v/>
      </c>
      <c r="G290" s="27"/>
      <c r="H290" s="27"/>
    </row>
    <row r="291" customFormat="false" ht="15" hidden="false" customHeight="false" outlineLevel="0" collapsed="false">
      <c r="A291" s="25"/>
      <c r="B291" s="14"/>
      <c r="C291" s="20" t="str">
        <f aca="false">IF(B291="","",IFERROR(INDEX(品項與安全庫存!$C$5:$C$104,MATCH(B291,品項與安全庫存!$A$5:$A$104,0)),""))</f>
        <v/>
      </c>
      <c r="D291" s="19" t="str">
        <f aca="false">IF(B291="","",IFERROR(INDEX(品項與安全庫存!$J$5:$J$104,MATCH(B291,品項與安全庫存!$A$5:$A$104,0)),""))</f>
        <v/>
      </c>
      <c r="E291" s="18"/>
      <c r="F291" s="26" t="str">
        <f aca="false">IF(OR(E291="",D291=""),"",E291-D291)</f>
        <v/>
      </c>
      <c r="G291" s="27"/>
      <c r="H291" s="27"/>
    </row>
    <row r="292" customFormat="false" ht="15" hidden="false" customHeight="false" outlineLevel="0" collapsed="false">
      <c r="A292" s="25"/>
      <c r="B292" s="14"/>
      <c r="C292" s="20" t="str">
        <f aca="false">IF(B292="","",IFERROR(INDEX(品項與安全庫存!$C$5:$C$104,MATCH(B292,品項與安全庫存!$A$5:$A$104,0)),""))</f>
        <v/>
      </c>
      <c r="D292" s="19" t="str">
        <f aca="false">IF(B292="","",IFERROR(INDEX(品項與安全庫存!$J$5:$J$104,MATCH(B292,品項與安全庫存!$A$5:$A$104,0)),""))</f>
        <v/>
      </c>
      <c r="E292" s="18"/>
      <c r="F292" s="26" t="str">
        <f aca="false">IF(OR(E292="",D292=""),"",E292-D292)</f>
        <v/>
      </c>
      <c r="G292" s="27"/>
      <c r="H292" s="27"/>
    </row>
    <row r="293" customFormat="false" ht="15" hidden="false" customHeight="false" outlineLevel="0" collapsed="false">
      <c r="A293" s="25"/>
      <c r="B293" s="14"/>
      <c r="C293" s="20" t="str">
        <f aca="false">IF(B293="","",IFERROR(INDEX(品項與安全庫存!$C$5:$C$104,MATCH(B293,品項與安全庫存!$A$5:$A$104,0)),""))</f>
        <v/>
      </c>
      <c r="D293" s="19" t="str">
        <f aca="false">IF(B293="","",IFERROR(INDEX(品項與安全庫存!$J$5:$J$104,MATCH(B293,品項與安全庫存!$A$5:$A$104,0)),""))</f>
        <v/>
      </c>
      <c r="E293" s="18"/>
      <c r="F293" s="26" t="str">
        <f aca="false">IF(OR(E293="",D293=""),"",E293-D293)</f>
        <v/>
      </c>
      <c r="G293" s="27"/>
      <c r="H293" s="27"/>
    </row>
    <row r="294" customFormat="false" ht="15" hidden="false" customHeight="false" outlineLevel="0" collapsed="false">
      <c r="A294" s="25"/>
      <c r="B294" s="14"/>
      <c r="C294" s="20" t="str">
        <f aca="false">IF(B294="","",IFERROR(INDEX(品項與安全庫存!$C$5:$C$104,MATCH(B294,品項與安全庫存!$A$5:$A$104,0)),""))</f>
        <v/>
      </c>
      <c r="D294" s="19" t="str">
        <f aca="false">IF(B294="","",IFERROR(INDEX(品項與安全庫存!$J$5:$J$104,MATCH(B294,品項與安全庫存!$A$5:$A$104,0)),""))</f>
        <v/>
      </c>
      <c r="E294" s="18"/>
      <c r="F294" s="26" t="str">
        <f aca="false">IF(OR(E294="",D294=""),"",E294-D294)</f>
        <v/>
      </c>
      <c r="G294" s="27"/>
      <c r="H294" s="27"/>
    </row>
    <row r="295" customFormat="false" ht="15" hidden="false" customHeight="false" outlineLevel="0" collapsed="false">
      <c r="A295" s="25"/>
      <c r="B295" s="14"/>
      <c r="C295" s="20" t="str">
        <f aca="false">IF(B295="","",IFERROR(INDEX(品項與安全庫存!$C$5:$C$104,MATCH(B295,品項與安全庫存!$A$5:$A$104,0)),""))</f>
        <v/>
      </c>
      <c r="D295" s="19" t="str">
        <f aca="false">IF(B295="","",IFERROR(INDEX(品項與安全庫存!$J$5:$J$104,MATCH(B295,品項與安全庫存!$A$5:$A$104,0)),""))</f>
        <v/>
      </c>
      <c r="E295" s="18"/>
      <c r="F295" s="26" t="str">
        <f aca="false">IF(OR(E295="",D295=""),"",E295-D295)</f>
        <v/>
      </c>
      <c r="G295" s="27"/>
      <c r="H295" s="27"/>
    </row>
    <row r="296" customFormat="false" ht="15" hidden="false" customHeight="false" outlineLevel="0" collapsed="false">
      <c r="A296" s="25"/>
      <c r="B296" s="14"/>
      <c r="C296" s="20" t="str">
        <f aca="false">IF(B296="","",IFERROR(INDEX(品項與安全庫存!$C$5:$C$104,MATCH(B296,品項與安全庫存!$A$5:$A$104,0)),""))</f>
        <v/>
      </c>
      <c r="D296" s="19" t="str">
        <f aca="false">IF(B296="","",IFERROR(INDEX(品項與安全庫存!$J$5:$J$104,MATCH(B296,品項與安全庫存!$A$5:$A$104,0)),""))</f>
        <v/>
      </c>
      <c r="E296" s="18"/>
      <c r="F296" s="26" t="str">
        <f aca="false">IF(OR(E296="",D296=""),"",E296-D296)</f>
        <v/>
      </c>
      <c r="G296" s="27"/>
      <c r="H296" s="27"/>
    </row>
    <row r="297" customFormat="false" ht="15" hidden="false" customHeight="false" outlineLevel="0" collapsed="false">
      <c r="A297" s="25"/>
      <c r="B297" s="14"/>
      <c r="C297" s="20" t="str">
        <f aca="false">IF(B297="","",IFERROR(INDEX(品項與安全庫存!$C$5:$C$104,MATCH(B297,品項與安全庫存!$A$5:$A$104,0)),""))</f>
        <v/>
      </c>
      <c r="D297" s="19" t="str">
        <f aca="false">IF(B297="","",IFERROR(INDEX(品項與安全庫存!$J$5:$J$104,MATCH(B297,品項與安全庫存!$A$5:$A$104,0)),""))</f>
        <v/>
      </c>
      <c r="E297" s="18"/>
      <c r="F297" s="26" t="str">
        <f aca="false">IF(OR(E297="",D297=""),"",E297-D297)</f>
        <v/>
      </c>
      <c r="G297" s="27"/>
      <c r="H297" s="27"/>
    </row>
    <row r="298" customFormat="false" ht="15" hidden="false" customHeight="false" outlineLevel="0" collapsed="false">
      <c r="A298" s="25"/>
      <c r="B298" s="14"/>
      <c r="C298" s="20" t="str">
        <f aca="false">IF(B298="","",IFERROR(INDEX(品項與安全庫存!$C$5:$C$104,MATCH(B298,品項與安全庫存!$A$5:$A$104,0)),""))</f>
        <v/>
      </c>
      <c r="D298" s="19" t="str">
        <f aca="false">IF(B298="","",IFERROR(INDEX(品項與安全庫存!$J$5:$J$104,MATCH(B298,品項與安全庫存!$A$5:$A$104,0)),""))</f>
        <v/>
      </c>
      <c r="E298" s="18"/>
      <c r="F298" s="26" t="str">
        <f aca="false">IF(OR(E298="",D298=""),"",E298-D298)</f>
        <v/>
      </c>
      <c r="G298" s="27"/>
      <c r="H298" s="27"/>
    </row>
    <row r="299" customFormat="false" ht="15" hidden="false" customHeight="false" outlineLevel="0" collapsed="false">
      <c r="A299" s="25"/>
      <c r="B299" s="14"/>
      <c r="C299" s="20" t="str">
        <f aca="false">IF(B299="","",IFERROR(INDEX(品項與安全庫存!$C$5:$C$104,MATCH(B299,品項與安全庫存!$A$5:$A$104,0)),""))</f>
        <v/>
      </c>
      <c r="D299" s="19" t="str">
        <f aca="false">IF(B299="","",IFERROR(INDEX(品項與安全庫存!$J$5:$J$104,MATCH(B299,品項與安全庫存!$A$5:$A$104,0)),""))</f>
        <v/>
      </c>
      <c r="E299" s="18"/>
      <c r="F299" s="26" t="str">
        <f aca="false">IF(OR(E299="",D299=""),"",E299-D299)</f>
        <v/>
      </c>
      <c r="G299" s="27"/>
      <c r="H299" s="27"/>
    </row>
    <row r="300" customFormat="false" ht="15" hidden="false" customHeight="false" outlineLevel="0" collapsed="false">
      <c r="A300" s="25"/>
      <c r="B300" s="14"/>
      <c r="C300" s="20" t="str">
        <f aca="false">IF(B300="","",IFERROR(INDEX(品項與安全庫存!$C$5:$C$104,MATCH(B300,品項與安全庫存!$A$5:$A$104,0)),""))</f>
        <v/>
      </c>
      <c r="D300" s="19" t="str">
        <f aca="false">IF(B300="","",IFERROR(INDEX(品項與安全庫存!$J$5:$J$104,MATCH(B300,品項與安全庫存!$A$5:$A$104,0)),""))</f>
        <v/>
      </c>
      <c r="E300" s="18"/>
      <c r="F300" s="26" t="str">
        <f aca="false">IF(OR(E300="",D300=""),"",E300-D300)</f>
        <v/>
      </c>
      <c r="G300" s="27"/>
      <c r="H300" s="27"/>
    </row>
    <row r="301" customFormat="false" ht="15" hidden="false" customHeight="false" outlineLevel="0" collapsed="false">
      <c r="A301" s="25"/>
      <c r="B301" s="14"/>
      <c r="C301" s="20" t="str">
        <f aca="false">IF(B301="","",IFERROR(INDEX(品項與安全庫存!$C$5:$C$104,MATCH(B301,品項與安全庫存!$A$5:$A$104,0)),""))</f>
        <v/>
      </c>
      <c r="D301" s="19" t="str">
        <f aca="false">IF(B301="","",IFERROR(INDEX(品項與安全庫存!$J$5:$J$104,MATCH(B301,品項與安全庫存!$A$5:$A$104,0)),""))</f>
        <v/>
      </c>
      <c r="E301" s="18"/>
      <c r="F301" s="26" t="str">
        <f aca="false">IF(OR(E301="",D301=""),"",E301-D301)</f>
        <v/>
      </c>
      <c r="G301" s="27"/>
      <c r="H301" s="27"/>
    </row>
    <row r="302" customFormat="false" ht="15" hidden="false" customHeight="false" outlineLevel="0" collapsed="false">
      <c r="A302" s="25"/>
      <c r="B302" s="14"/>
      <c r="C302" s="20" t="str">
        <f aca="false">IF(B302="","",IFERROR(INDEX(品項與安全庫存!$C$5:$C$104,MATCH(B302,品項與安全庫存!$A$5:$A$104,0)),""))</f>
        <v/>
      </c>
      <c r="D302" s="19" t="str">
        <f aca="false">IF(B302="","",IFERROR(INDEX(品項與安全庫存!$J$5:$J$104,MATCH(B302,品項與安全庫存!$A$5:$A$104,0)),""))</f>
        <v/>
      </c>
      <c r="E302" s="18"/>
      <c r="F302" s="26" t="str">
        <f aca="false">IF(OR(E302="",D302=""),"",E302-D302)</f>
        <v/>
      </c>
      <c r="G302" s="27"/>
      <c r="H302" s="27"/>
    </row>
    <row r="303" customFormat="false" ht="15" hidden="false" customHeight="false" outlineLevel="0" collapsed="false">
      <c r="A303" s="25"/>
      <c r="B303" s="14"/>
      <c r="C303" s="20" t="str">
        <f aca="false">IF(B303="","",IFERROR(INDEX(品項與安全庫存!$C$5:$C$104,MATCH(B303,品項與安全庫存!$A$5:$A$104,0)),""))</f>
        <v/>
      </c>
      <c r="D303" s="19" t="str">
        <f aca="false">IF(B303="","",IFERROR(INDEX(品項與安全庫存!$J$5:$J$104,MATCH(B303,品項與安全庫存!$A$5:$A$104,0)),""))</f>
        <v/>
      </c>
      <c r="E303" s="18"/>
      <c r="F303" s="26" t="str">
        <f aca="false">IF(OR(E303="",D303=""),"",E303-D303)</f>
        <v/>
      </c>
      <c r="G303" s="27"/>
      <c r="H303" s="27"/>
    </row>
    <row r="304" customFormat="false" ht="15" hidden="false" customHeight="false" outlineLevel="0" collapsed="false">
      <c r="A304" s="25"/>
      <c r="B304" s="14"/>
      <c r="C304" s="20" t="str">
        <f aca="false">IF(B304="","",IFERROR(INDEX(品項與安全庫存!$C$5:$C$104,MATCH(B304,品項與安全庫存!$A$5:$A$104,0)),""))</f>
        <v/>
      </c>
      <c r="D304" s="19" t="str">
        <f aca="false">IF(B304="","",IFERROR(INDEX(品項與安全庫存!$J$5:$J$104,MATCH(B304,品項與安全庫存!$A$5:$A$104,0)),""))</f>
        <v/>
      </c>
      <c r="E304" s="18"/>
      <c r="F304" s="26" t="str">
        <f aca="false">IF(OR(E304="",D304=""),"",E304-D304)</f>
        <v/>
      </c>
      <c r="G304" s="27"/>
      <c r="H304" s="27"/>
    </row>
  </sheetData>
  <mergeCells count="2">
    <mergeCell ref="A1:H1"/>
    <mergeCell ref="A2:H2"/>
  </mergeCells>
  <conditionalFormatting sqref="F5:F304">
    <cfRule type="expression" priority="2" aboveAverage="0" equalAverage="0" bottom="0" percent="0" rank="0" text="" dxfId="4">
      <formula>AND(F5&lt;&gt;"",F5&lt;&gt;0)</formula>
    </cfRule>
  </conditionalFormatting>
  <dataValidations count="2">
    <dataValidation allowBlank="true" errorStyle="stop" operator="between" showDropDown="false" showErrorMessage="false" showInputMessage="false" sqref="B5:B304" type="list">
      <formula1>品項與安全庫存!$A$5:$A$104</formula1>
      <formula2>0</formula2>
    </dataValidation>
    <dataValidation allowBlank="true" errorStyle="stop" operator="between" showDropDown="false" showErrorMessage="false" showInputMessage="false" sqref="G5:G304" type="list">
      <formula1>"領用未登記,到貨未入帳,單位換算錯誤,過期或損壞,其他"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40"/>
  </cols>
  <sheetData>
    <row r="1" customFormat="false" ht="33.75" hidden="false" customHeight="true" outlineLevel="0" collapsed="false">
      <c r="A1" s="10" t="s">
        <v>65</v>
      </c>
      <c r="B1" s="10"/>
      <c r="C1" s="10"/>
      <c r="D1" s="10"/>
    </row>
    <row r="3" customFormat="false" ht="33.75" hidden="false" customHeight="true" outlineLevel="0" collapsed="false">
      <c r="A3" s="12" t="s">
        <v>66</v>
      </c>
      <c r="B3" s="12" t="s">
        <v>67</v>
      </c>
      <c r="C3" s="12" t="s">
        <v>68</v>
      </c>
    </row>
    <row r="4" customFormat="false" ht="30" hidden="false" customHeight="true" outlineLevel="0" collapsed="false">
      <c r="A4" s="28" t="s">
        <v>69</v>
      </c>
      <c r="B4" s="29" t="s">
        <v>70</v>
      </c>
      <c r="C4" s="30" t="s">
        <v>71</v>
      </c>
    </row>
    <row r="5" customFormat="false" ht="30" hidden="false" customHeight="true" outlineLevel="0" collapsed="false">
      <c r="A5" s="28" t="s">
        <v>72</v>
      </c>
      <c r="B5" s="29" t="s">
        <v>73</v>
      </c>
      <c r="C5" s="30" t="s">
        <v>74</v>
      </c>
    </row>
    <row r="6" customFormat="false" ht="30" hidden="false" customHeight="true" outlineLevel="0" collapsed="false">
      <c r="A6" s="31" t="s">
        <v>75</v>
      </c>
      <c r="B6" s="29" t="s">
        <v>76</v>
      </c>
      <c r="C6" s="30" t="s">
        <v>77</v>
      </c>
    </row>
    <row r="7" customFormat="false" ht="30" hidden="false" customHeight="true" outlineLevel="0" collapsed="false">
      <c r="A7" s="31" t="s">
        <v>78</v>
      </c>
      <c r="B7" s="29" t="s">
        <v>79</v>
      </c>
      <c r="C7" s="30" t="s">
        <v>80</v>
      </c>
    </row>
    <row r="9" customFormat="false" ht="15" hidden="false" customHeight="false" outlineLevel="0" collapsed="false">
      <c r="A9" s="32" t="s">
        <v>81</v>
      </c>
    </row>
  </sheetData>
  <mergeCells count="1">
    <mergeCell ref="A1:D1"/>
  </mergeCells>
  <hyperlinks>
    <hyperlink ref="C4" r:id="rId1" display="https://olimedi.com/attendance.html"/>
    <hyperlink ref="C5" r:id="rId2" display="https://olimedi.com/materials.html"/>
    <hyperlink ref="C6" r:id="rId3" display="https://olimedi.com/blog/"/>
    <hyperlink ref="C7" r:id="rId4" display="https://line.me/R/ti/p/@336appf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2026-10-03T14:21:12Z</dcterms:created>
  <dc:creator>openpyxl</dc:creator>
  <dc:description/>
  <dc:language>en-US</dc:language>
  <cp:lastModifiedBy/>
  <dcterms:modified xsi:type="dcterms:W3CDTF">2026-10-03T14:21:12Z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