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說明" sheetId="1" state="visible" r:id="rId3"/>
    <sheet name="特休計算" sheetId="2" state="visible" r:id="rId4"/>
    <sheet name="特休天數對照表" sheetId="3" state="visible" r:id="rId5"/>
    <sheet name="更多工具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Noto Sans CJK SC"/>
            <family val="2"/>
          </rPr>
          <t xml:space="preserve">預設為今天。可改成任何日期，例如年底 </t>
        </r>
        <r>
          <rPr>
            <sz val="10"/>
            <rFont val="Arial"/>
            <family val="2"/>
          </rPr>
          <t xml:space="preserve">2026-12-31</t>
        </r>
        <r>
          <rPr>
            <sz val="10"/>
            <rFont val="Noto Sans CJK SC"/>
            <family val="2"/>
          </rPr>
          <t xml:space="preserve">，試算到那天為止的年資與特休。</t>
        </r>
      </text>
    </comment>
  </commentList>
</comments>
</file>

<file path=xl/sharedStrings.xml><?xml version="1.0" encoding="utf-8"?>
<sst xmlns="http://schemas.openxmlformats.org/spreadsheetml/2006/main" count="74" uniqueCount="73">
  <si>
    <r>
      <rPr>
        <b val="true"/>
        <sz val="15"/>
        <color rgb="FFFFFFFF"/>
        <rFont val="Arial"/>
        <family val="0"/>
        <charset val="1"/>
      </rPr>
      <t xml:space="preserve">Olimedi </t>
    </r>
    <r>
      <rPr>
        <b val="true"/>
        <sz val="15"/>
        <color rgb="FFFFFFFF"/>
        <rFont val="Noto Sans CJK SC"/>
        <family val="2"/>
      </rPr>
      <t xml:space="preserve">奧里醫療資訊｜特休天數與餘額計算表（週年制）</t>
    </r>
  </si>
  <si>
    <t xml:space="preserve">怎麼使用</t>
  </si>
  <si>
    <r>
      <rPr>
        <sz val="11"/>
        <rFont val="Arial"/>
        <family val="0"/>
        <charset val="1"/>
      </rPr>
      <t xml:space="preserve">1. </t>
    </r>
    <r>
      <rPr>
        <sz val="11"/>
        <rFont val="Noto Sans CJK SC"/>
        <family val="2"/>
      </rPr>
      <t xml:space="preserve">到「特休計算」填計算基準日（預設為今天，可改成年底等任何日期）。</t>
    </r>
  </si>
  <si>
    <r>
      <rPr>
        <sz val="11"/>
        <rFont val="Arial"/>
        <family val="0"/>
        <charset val="1"/>
      </rPr>
      <t xml:space="preserve">2. </t>
    </r>
    <r>
      <rPr>
        <sz val="11"/>
        <rFont val="Noto Sans CJK SC"/>
        <family val="2"/>
      </rPr>
      <t xml:space="preserve">每位員工填姓名、到職日、月薪，表格會依勞動基準法第 </t>
    </r>
    <r>
      <rPr>
        <sz val="11"/>
        <rFont val="Arial"/>
        <family val="0"/>
        <charset val="1"/>
      </rPr>
      <t xml:space="preserve">38 </t>
    </r>
    <r>
      <rPr>
        <sz val="11"/>
        <rFont val="Noto Sans CJK SC"/>
        <family val="2"/>
      </rPr>
      <t xml:space="preserve">條自動算出年資、本年度特休天數與年度起訖日。</t>
    </r>
  </si>
  <si>
    <r>
      <rPr>
        <sz val="11"/>
        <rFont val="Arial"/>
        <family val="0"/>
        <charset val="1"/>
      </rPr>
      <t xml:space="preserve">3. </t>
    </r>
    <r>
      <rPr>
        <sz val="11"/>
        <rFont val="Noto Sans CJK SC"/>
        <family val="2"/>
      </rPr>
      <t xml:space="preserve">填入「遞延天數」（經勞雇協商從上年度遞延的天數）與「本年度已休天數」，自動算出剩餘天數。</t>
    </r>
  </si>
  <si>
    <r>
      <rPr>
        <sz val="11"/>
        <rFont val="Arial"/>
        <family val="0"/>
        <charset val="1"/>
      </rPr>
      <t xml:space="preserve">4. </t>
    </r>
    <r>
      <rPr>
        <sz val="11"/>
        <rFont val="Noto Sans CJK SC"/>
        <family val="2"/>
      </rPr>
      <t xml:space="preserve">未休工資試算＝剩餘天數 </t>
    </r>
    <r>
      <rPr>
        <sz val="11"/>
        <rFont val="Arial"/>
        <family val="0"/>
        <charset val="1"/>
      </rPr>
      <t xml:space="preserve">× </t>
    </r>
    <r>
      <rPr>
        <sz val="11"/>
        <rFont val="Noto Sans CJK SC"/>
        <family val="2"/>
      </rPr>
      <t xml:space="preserve">一日工資（月薪 </t>
    </r>
    <r>
      <rPr>
        <sz val="11"/>
        <rFont val="Arial"/>
        <family val="0"/>
        <charset val="1"/>
      </rPr>
      <t xml:space="preserve">÷ 30</t>
    </r>
    <r>
      <rPr>
        <sz val="11"/>
        <rFont val="Noto Sans CJK SC"/>
        <family val="2"/>
      </rPr>
      <t xml:space="preserve">）。年度將在 </t>
    </r>
    <r>
      <rPr>
        <sz val="11"/>
        <rFont val="Arial"/>
        <family val="0"/>
        <charset val="1"/>
      </rPr>
      <t xml:space="preserve">60 </t>
    </r>
    <r>
      <rPr>
        <sz val="11"/>
        <rFont val="Noto Sans CJK SC"/>
        <family val="2"/>
      </rPr>
      <t xml:space="preserve">天內結束且仍有剩餘天數的員工，會出現提醒。</t>
    </r>
  </si>
  <si>
    <r>
      <rPr>
        <sz val="11"/>
        <rFont val="Arial"/>
        <family val="0"/>
        <charset val="1"/>
      </rPr>
      <t xml:space="preserve">5. </t>
    </r>
    <r>
      <rPr>
        <sz val="11"/>
        <rFont val="Noto Sans CJK SC"/>
        <family val="2"/>
      </rPr>
      <t xml:space="preserve">「特休天數對照表」整理法定天數，方便核對。本表採週年制（以到職日起算）；曆年制請以勞動部特別休假日數試算系統核對。</t>
    </r>
  </si>
  <si>
    <t xml:space="preserve">顏色說明</t>
  </si>
  <si>
    <t xml:space="preserve">請填寫</t>
  </si>
  <si>
    <t xml:space="preserve">黃色格子＝請自行填寫或修改；其他格子有公式，會自動計算，請勿刪除。</t>
  </si>
  <si>
    <t xml:space="preserve">自動計算</t>
  </si>
  <si>
    <t xml:space="preserve">白色格子＝公式自動帶出。標示「（範例）」的資料可直接覆蓋或刪除。</t>
  </si>
  <si>
    <r>
      <rPr>
        <i val="true"/>
        <sz val="9"/>
        <color rgb="FF4A5F57"/>
        <rFont val="Noto Sans CJK SC"/>
        <family val="2"/>
      </rPr>
      <t xml:space="preserve">本範本為一般性計算工具，不構成法律意見。特休天數、未休工資之計算與發給，請以勞動基準法第 </t>
    </r>
    <r>
      <rPr>
        <i val="true"/>
        <sz val="9"/>
        <color rgb="FF4A5F57"/>
        <rFont val="Arial"/>
        <family val="0"/>
        <charset val="1"/>
      </rPr>
      <t xml:space="preserve">38 </t>
    </r>
    <r>
      <rPr>
        <i val="true"/>
        <sz val="9"/>
        <color rgb="FF4A5F57"/>
        <rFont val="Noto Sans CJK SC"/>
        <family val="2"/>
      </rPr>
      <t xml:space="preserve">條、勞動基準法施行細則第 </t>
    </r>
    <r>
      <rPr>
        <i val="true"/>
        <sz val="9"/>
        <color rgb="FF4A5F57"/>
        <rFont val="Arial"/>
        <family val="0"/>
        <charset val="1"/>
      </rPr>
      <t xml:space="preserve">24 </t>
    </r>
    <r>
      <rPr>
        <i val="true"/>
        <sz val="9"/>
        <color rgb="FF4A5F57"/>
        <rFont val="Noto Sans CJK SC"/>
        <family val="2"/>
      </rPr>
      <t xml:space="preserve">條、第 </t>
    </r>
    <r>
      <rPr>
        <i val="true"/>
        <sz val="9"/>
        <color rgb="FF4A5F57"/>
        <rFont val="Arial"/>
        <family val="0"/>
        <charset val="1"/>
      </rPr>
      <t xml:space="preserve">24-1 </t>
    </r>
    <r>
      <rPr>
        <i val="true"/>
        <sz val="9"/>
        <color rgb="FF4A5F57"/>
        <rFont val="Noto Sans CJK SC"/>
        <family val="2"/>
      </rPr>
      <t xml:space="preserve">條及勞動部最新解釋為準；一日工資以月薪 </t>
    </r>
    <r>
      <rPr>
        <i val="true"/>
        <sz val="9"/>
        <color rgb="FF4A5F57"/>
        <rFont val="Arial"/>
        <family val="0"/>
        <charset val="1"/>
      </rPr>
      <t xml:space="preserve">÷ 30 </t>
    </r>
    <r>
      <rPr>
        <i val="true"/>
        <sz val="9"/>
        <color rgb="FF4A5F57"/>
        <rFont val="Noto Sans CJK SC"/>
        <family val="2"/>
      </rPr>
      <t xml:space="preserve">估算，實際應以正常工作時間所得工資計算。</t>
    </r>
  </si>
  <si>
    <t xml:space="preserve">用 Excel 管得很累？Oli 系統可以自動完成這些計算 → 加 LINE 問 Oliver（@336appfx），預約免費線上展示</t>
  </si>
  <si>
    <t xml:space="preserve">更多診所管理實用文章：olimedi.com/blog</t>
  </si>
  <si>
    <t xml:space="preserve">特休天數與餘額計算（週年制）</t>
  </si>
  <si>
    <r>
      <rPr>
        <sz val="10"/>
        <color rgb="FF4A5F57"/>
        <rFont val="Noto Sans CJK SC"/>
        <family val="2"/>
      </rPr>
      <t xml:space="preserve">黃色格子請填寫；最多 </t>
    </r>
    <r>
      <rPr>
        <sz val="10"/>
        <color rgb="FF4A5F57"/>
        <rFont val="Arial"/>
        <family val="0"/>
        <charset val="1"/>
      </rPr>
      <t xml:space="preserve">30 </t>
    </r>
    <r>
      <rPr>
        <sz val="10"/>
        <color rgb="FF4A5F57"/>
        <rFont val="Noto Sans CJK SC"/>
        <family val="2"/>
      </rPr>
      <t xml:space="preserve">人。</t>
    </r>
  </si>
  <si>
    <t xml:space="preserve">計算基準日</t>
  </si>
  <si>
    <t xml:space="preserve">姓名</t>
  </si>
  <si>
    <t xml:space="preserve">到職日</t>
  </si>
  <si>
    <t xml:space="preserve">月薪（元）</t>
  </si>
  <si>
    <t xml:space="preserve">年資（月）</t>
  </si>
  <si>
    <t xml:space="preserve">年資（年）</t>
  </si>
  <si>
    <t xml:space="preserve">本年度法定特休（日）</t>
  </si>
  <si>
    <t xml:space="preserve">本年度起日</t>
  </si>
  <si>
    <t xml:space="preserve">本年度迄日</t>
  </si>
  <si>
    <t xml:space="preserve">遞延天數</t>
  </si>
  <si>
    <t xml:space="preserve">本年度已休天數</t>
  </si>
  <si>
    <t xml:space="preserve">剩餘天數</t>
  </si>
  <si>
    <t xml:space="preserve">一日工資（元）</t>
  </si>
  <si>
    <t xml:space="preserve">未休工資試算（元）</t>
  </si>
  <si>
    <t xml:space="preserve">提醒</t>
  </si>
  <si>
    <t xml:space="preserve">王小明（範例）</t>
  </si>
  <si>
    <t xml:space="preserve">陳小美（範例）</t>
  </si>
  <si>
    <r>
      <rPr>
        <sz val="9"/>
        <color rgb="FF4A5F57"/>
        <rFont val="Noto Sans CJK SC"/>
        <family val="2"/>
      </rPr>
      <t xml:space="preserve">※ 滿 </t>
    </r>
    <r>
      <rPr>
        <sz val="9"/>
        <color rgb="FF4A5F57"/>
        <rFont val="Arial"/>
        <family val="0"/>
        <charset val="1"/>
      </rPr>
      <t xml:space="preserve">6 </t>
    </r>
    <r>
      <rPr>
        <sz val="9"/>
        <color rgb="FF4A5F57"/>
        <rFont val="Noto Sans CJK SC"/>
        <family val="2"/>
      </rPr>
      <t xml:space="preserve">個月給 </t>
    </r>
    <r>
      <rPr>
        <sz val="9"/>
        <color rgb="FF4A5F57"/>
        <rFont val="Arial"/>
        <family val="0"/>
        <charset val="1"/>
      </rPr>
      <t xml:space="preserve">3 </t>
    </r>
    <r>
      <rPr>
        <sz val="9"/>
        <color rgb="FF4A5F57"/>
        <rFont val="Noto Sans CJK SC"/>
        <family val="2"/>
      </rPr>
      <t xml:space="preserve">日、滿 </t>
    </r>
    <r>
      <rPr>
        <sz val="9"/>
        <color rgb="FF4A5F57"/>
        <rFont val="Arial"/>
        <family val="0"/>
        <charset val="1"/>
      </rPr>
      <t xml:space="preserve">1 </t>
    </r>
    <r>
      <rPr>
        <sz val="9"/>
        <color rgb="FF4A5F57"/>
        <rFont val="Noto Sans CJK SC"/>
        <family val="2"/>
      </rPr>
      <t xml:space="preserve">年再給 </t>
    </r>
    <r>
      <rPr>
        <sz val="9"/>
        <color rgb="FF4A5F57"/>
        <rFont val="Arial"/>
        <family val="0"/>
        <charset val="1"/>
      </rPr>
      <t xml:space="preserve">7 </t>
    </r>
    <r>
      <rPr>
        <sz val="9"/>
        <color rgb="FF4A5F57"/>
        <rFont val="Noto Sans CJK SC"/>
        <family val="2"/>
      </rPr>
      <t xml:space="preserve">日，兩者分別給予；到職第一年合計 </t>
    </r>
    <r>
      <rPr>
        <sz val="9"/>
        <color rgb="FF4A5F57"/>
        <rFont val="Arial"/>
        <family val="0"/>
        <charset val="1"/>
      </rPr>
      <t xml:space="preserve">10 </t>
    </r>
    <r>
      <rPr>
        <sz val="9"/>
        <color rgb="FF4A5F57"/>
        <rFont val="Noto Sans CJK SC"/>
        <family val="2"/>
      </rPr>
      <t xml:space="preserve">日。※ 部分工時人員依工作時間比例計算，本表未自動換算。</t>
    </r>
  </si>
  <si>
    <r>
      <rPr>
        <b val="true"/>
        <sz val="15"/>
        <color rgb="FFFFFFFF"/>
        <rFont val="Noto Sans CJK SC"/>
        <family val="2"/>
      </rPr>
      <t xml:space="preserve">特別休假天數對照（勞動基準法第 </t>
    </r>
    <r>
      <rPr>
        <b val="true"/>
        <sz val="15"/>
        <color rgb="FFFFFFFF"/>
        <rFont val="Arial"/>
        <family val="0"/>
        <charset val="1"/>
      </rPr>
      <t xml:space="preserve">38 </t>
    </r>
    <r>
      <rPr>
        <b val="true"/>
        <sz val="15"/>
        <color rgb="FFFFFFFF"/>
        <rFont val="Noto Sans CJK SC"/>
        <family val="2"/>
      </rPr>
      <t xml:space="preserve">條）</t>
    </r>
  </si>
  <si>
    <t xml:space="preserve">工作年資</t>
  </si>
  <si>
    <t xml:space="preserve">特休天數</t>
  </si>
  <si>
    <t xml:space="preserve">說明</t>
  </si>
  <si>
    <r>
      <rPr>
        <sz val="10"/>
        <color rgb="FF17332B"/>
        <rFont val="Arial"/>
        <family val="0"/>
        <charset val="1"/>
      </rPr>
      <t xml:space="preserve">6 </t>
    </r>
    <r>
      <rPr>
        <sz val="10"/>
        <color rgb="FF17332B"/>
        <rFont val="Noto Sans CJK SC"/>
        <family val="2"/>
      </rPr>
      <t xml:space="preserve">個月以上、未滿 </t>
    </r>
    <r>
      <rPr>
        <sz val="10"/>
        <color rgb="FF17332B"/>
        <rFont val="Arial"/>
        <family val="0"/>
        <charset val="1"/>
      </rPr>
      <t xml:space="preserve">1 </t>
    </r>
    <r>
      <rPr>
        <sz val="10"/>
        <color rgb="FF17332B"/>
        <rFont val="Noto Sans CJK SC"/>
        <family val="2"/>
      </rPr>
      <t xml:space="preserve">年</t>
    </r>
  </si>
  <si>
    <r>
      <rPr>
        <b val="true"/>
        <sz val="10"/>
        <color rgb="FF17332B"/>
        <rFont val="Arial"/>
        <family val="0"/>
        <charset val="1"/>
      </rPr>
      <t xml:space="preserve">3 </t>
    </r>
    <r>
      <rPr>
        <b val="true"/>
        <sz val="10"/>
        <color rgb="FF17332B"/>
        <rFont val="Noto Sans CJK SC"/>
        <family val="2"/>
      </rPr>
      <t xml:space="preserve">日</t>
    </r>
  </si>
  <si>
    <r>
      <rPr>
        <sz val="10"/>
        <color rgb="FF17332B"/>
        <rFont val="Arial"/>
        <family val="0"/>
        <charset val="1"/>
      </rPr>
      <t xml:space="preserve">1 </t>
    </r>
    <r>
      <rPr>
        <sz val="10"/>
        <color rgb="FF17332B"/>
        <rFont val="Noto Sans CJK SC"/>
        <family val="2"/>
      </rPr>
      <t xml:space="preserve">年以上、未滿 </t>
    </r>
    <r>
      <rPr>
        <sz val="10"/>
        <color rgb="FF17332B"/>
        <rFont val="Arial"/>
        <family val="0"/>
        <charset val="1"/>
      </rPr>
      <t xml:space="preserve">2 </t>
    </r>
    <r>
      <rPr>
        <sz val="10"/>
        <color rgb="FF17332B"/>
        <rFont val="Noto Sans CJK SC"/>
        <family val="2"/>
      </rPr>
      <t xml:space="preserve">年</t>
    </r>
  </si>
  <si>
    <r>
      <rPr>
        <b val="true"/>
        <sz val="10"/>
        <color rgb="FF17332B"/>
        <rFont val="Arial"/>
        <family val="0"/>
        <charset val="1"/>
      </rPr>
      <t xml:space="preserve">7 </t>
    </r>
    <r>
      <rPr>
        <b val="true"/>
        <sz val="10"/>
        <color rgb="FF17332B"/>
        <rFont val="Noto Sans CJK SC"/>
        <family val="2"/>
      </rPr>
      <t xml:space="preserve">日</t>
    </r>
  </si>
  <si>
    <r>
      <rPr>
        <sz val="10"/>
        <color rgb="FF17332B"/>
        <rFont val="Noto Sans CJK SC"/>
        <family val="2"/>
      </rPr>
      <t xml:space="preserve">與滿 </t>
    </r>
    <r>
      <rPr>
        <sz val="10"/>
        <color rgb="FF17332B"/>
        <rFont val="Arial"/>
        <family val="0"/>
        <charset val="1"/>
      </rPr>
      <t xml:space="preserve">6 </t>
    </r>
    <r>
      <rPr>
        <sz val="10"/>
        <color rgb="FF17332B"/>
        <rFont val="Noto Sans CJK SC"/>
        <family val="2"/>
      </rPr>
      <t xml:space="preserve">個月的 </t>
    </r>
    <r>
      <rPr>
        <sz val="10"/>
        <color rgb="FF17332B"/>
        <rFont val="Arial"/>
        <family val="0"/>
        <charset val="1"/>
      </rPr>
      <t xml:space="preserve">3 </t>
    </r>
    <r>
      <rPr>
        <sz val="10"/>
        <color rgb="FF17332B"/>
        <rFont val="Noto Sans CJK SC"/>
        <family val="2"/>
      </rPr>
      <t xml:space="preserve">日分別給予</t>
    </r>
  </si>
  <si>
    <r>
      <rPr>
        <sz val="10"/>
        <color rgb="FF17332B"/>
        <rFont val="Arial"/>
        <family val="0"/>
        <charset val="1"/>
      </rPr>
      <t xml:space="preserve">2 </t>
    </r>
    <r>
      <rPr>
        <sz val="10"/>
        <color rgb="FF17332B"/>
        <rFont val="Noto Sans CJK SC"/>
        <family val="2"/>
      </rPr>
      <t xml:space="preserve">年以上、未滿 </t>
    </r>
    <r>
      <rPr>
        <sz val="10"/>
        <color rgb="FF17332B"/>
        <rFont val="Arial"/>
        <family val="0"/>
        <charset val="1"/>
      </rPr>
      <t xml:space="preserve">3 </t>
    </r>
    <r>
      <rPr>
        <sz val="10"/>
        <color rgb="FF17332B"/>
        <rFont val="Noto Sans CJK SC"/>
        <family val="2"/>
      </rPr>
      <t xml:space="preserve">年</t>
    </r>
  </si>
  <si>
    <r>
      <rPr>
        <b val="true"/>
        <sz val="10"/>
        <color rgb="FF17332B"/>
        <rFont val="Arial"/>
        <family val="0"/>
        <charset val="1"/>
      </rPr>
      <t xml:space="preserve">10 </t>
    </r>
    <r>
      <rPr>
        <b val="true"/>
        <sz val="10"/>
        <color rgb="FF17332B"/>
        <rFont val="Noto Sans CJK SC"/>
        <family val="2"/>
      </rPr>
      <t xml:space="preserve">日</t>
    </r>
  </si>
  <si>
    <r>
      <rPr>
        <sz val="10"/>
        <color rgb="FF17332B"/>
        <rFont val="Arial"/>
        <family val="0"/>
        <charset val="1"/>
      </rPr>
      <t xml:space="preserve">3 </t>
    </r>
    <r>
      <rPr>
        <sz val="10"/>
        <color rgb="FF17332B"/>
        <rFont val="Noto Sans CJK SC"/>
        <family val="2"/>
      </rPr>
      <t xml:space="preserve">年以上、未滿 </t>
    </r>
    <r>
      <rPr>
        <sz val="10"/>
        <color rgb="FF17332B"/>
        <rFont val="Arial"/>
        <family val="0"/>
        <charset val="1"/>
      </rPr>
      <t xml:space="preserve">5 </t>
    </r>
    <r>
      <rPr>
        <sz val="10"/>
        <color rgb="FF17332B"/>
        <rFont val="Noto Sans CJK SC"/>
        <family val="2"/>
      </rPr>
      <t xml:space="preserve">年</t>
    </r>
  </si>
  <si>
    <r>
      <rPr>
        <b val="true"/>
        <sz val="10"/>
        <color rgb="FF17332B"/>
        <rFont val="Noto Sans CJK SC"/>
        <family val="2"/>
      </rPr>
      <t xml:space="preserve">每年 </t>
    </r>
    <r>
      <rPr>
        <b val="true"/>
        <sz val="10"/>
        <color rgb="FF17332B"/>
        <rFont val="Arial"/>
        <family val="0"/>
        <charset val="1"/>
      </rPr>
      <t xml:space="preserve">14 </t>
    </r>
    <r>
      <rPr>
        <b val="true"/>
        <sz val="10"/>
        <color rgb="FF17332B"/>
        <rFont val="Noto Sans CJK SC"/>
        <family val="2"/>
      </rPr>
      <t xml:space="preserve">日</t>
    </r>
  </si>
  <si>
    <r>
      <rPr>
        <sz val="10"/>
        <color rgb="FF17332B"/>
        <rFont val="Arial"/>
        <family val="0"/>
        <charset val="1"/>
      </rPr>
      <t xml:space="preserve">5 </t>
    </r>
    <r>
      <rPr>
        <sz val="10"/>
        <color rgb="FF17332B"/>
        <rFont val="Noto Sans CJK SC"/>
        <family val="2"/>
      </rPr>
      <t xml:space="preserve">年以上、未滿 </t>
    </r>
    <r>
      <rPr>
        <sz val="10"/>
        <color rgb="FF17332B"/>
        <rFont val="Arial"/>
        <family val="0"/>
        <charset val="1"/>
      </rPr>
      <t xml:space="preserve">10 </t>
    </r>
    <r>
      <rPr>
        <sz val="10"/>
        <color rgb="FF17332B"/>
        <rFont val="Noto Sans CJK SC"/>
        <family val="2"/>
      </rPr>
      <t xml:space="preserve">年</t>
    </r>
  </si>
  <si>
    <r>
      <rPr>
        <b val="true"/>
        <sz val="10"/>
        <color rgb="FF17332B"/>
        <rFont val="Noto Sans CJK SC"/>
        <family val="2"/>
      </rPr>
      <t xml:space="preserve">每年 </t>
    </r>
    <r>
      <rPr>
        <b val="true"/>
        <sz val="10"/>
        <color rgb="FF17332B"/>
        <rFont val="Arial"/>
        <family val="0"/>
        <charset val="1"/>
      </rPr>
      <t xml:space="preserve">15 </t>
    </r>
    <r>
      <rPr>
        <b val="true"/>
        <sz val="10"/>
        <color rgb="FF17332B"/>
        <rFont val="Noto Sans CJK SC"/>
        <family val="2"/>
      </rPr>
      <t xml:space="preserve">日</t>
    </r>
  </si>
  <si>
    <r>
      <rPr>
        <sz val="10"/>
        <color rgb="FF17332B"/>
        <rFont val="Arial"/>
        <family val="0"/>
        <charset val="1"/>
      </rPr>
      <t xml:space="preserve">10 </t>
    </r>
    <r>
      <rPr>
        <sz val="10"/>
        <color rgb="FF17332B"/>
        <rFont val="Noto Sans CJK SC"/>
        <family val="2"/>
      </rPr>
      <t xml:space="preserve">年以上</t>
    </r>
  </si>
  <si>
    <r>
      <rPr>
        <b val="true"/>
        <sz val="10"/>
        <color rgb="FF17332B"/>
        <rFont val="Noto Sans CJK SC"/>
        <family val="2"/>
      </rPr>
      <t xml:space="preserve">每 </t>
    </r>
    <r>
      <rPr>
        <b val="true"/>
        <sz val="10"/>
        <color rgb="FF17332B"/>
        <rFont val="Arial"/>
        <family val="0"/>
        <charset val="1"/>
      </rPr>
      <t xml:space="preserve">1 </t>
    </r>
    <r>
      <rPr>
        <b val="true"/>
        <sz val="10"/>
        <color rgb="FF17332B"/>
        <rFont val="Noto Sans CJK SC"/>
        <family val="2"/>
      </rPr>
      <t xml:space="preserve">年加給 </t>
    </r>
    <r>
      <rPr>
        <b val="true"/>
        <sz val="10"/>
        <color rgb="FF17332B"/>
        <rFont val="Arial"/>
        <family val="0"/>
        <charset val="1"/>
      </rPr>
      <t xml:space="preserve">1 </t>
    </r>
    <r>
      <rPr>
        <b val="true"/>
        <sz val="10"/>
        <color rgb="FF17332B"/>
        <rFont val="Noto Sans CJK SC"/>
        <family val="2"/>
      </rPr>
      <t xml:space="preserve">日，加至 </t>
    </r>
    <r>
      <rPr>
        <b val="true"/>
        <sz val="10"/>
        <color rgb="FF17332B"/>
        <rFont val="Arial"/>
        <family val="0"/>
        <charset val="1"/>
      </rPr>
      <t xml:space="preserve">30 </t>
    </r>
    <r>
      <rPr>
        <b val="true"/>
        <sz val="10"/>
        <color rgb="FF17332B"/>
        <rFont val="Noto Sans CJK SC"/>
        <family val="2"/>
      </rPr>
      <t xml:space="preserve">日為止</t>
    </r>
  </si>
  <si>
    <r>
      <rPr>
        <sz val="10"/>
        <color rgb="FF17332B"/>
        <rFont val="Noto Sans CJK SC"/>
        <family val="2"/>
      </rPr>
      <t xml:space="preserve">例：滿 </t>
    </r>
    <r>
      <rPr>
        <sz val="10"/>
        <color rgb="FF17332B"/>
        <rFont val="Arial"/>
        <family val="0"/>
        <charset val="1"/>
      </rPr>
      <t xml:space="preserve">10 </t>
    </r>
    <r>
      <rPr>
        <sz val="10"/>
        <color rgb="FF17332B"/>
        <rFont val="Noto Sans CJK SC"/>
        <family val="2"/>
      </rPr>
      <t xml:space="preserve">年 </t>
    </r>
    <r>
      <rPr>
        <sz val="10"/>
        <color rgb="FF17332B"/>
        <rFont val="Arial"/>
        <family val="0"/>
        <charset val="1"/>
      </rPr>
      <t xml:space="preserve">16 </t>
    </r>
    <r>
      <rPr>
        <sz val="10"/>
        <color rgb="FF17332B"/>
        <rFont val="Noto Sans CJK SC"/>
        <family val="2"/>
      </rPr>
      <t xml:space="preserve">日、滿 </t>
    </r>
    <r>
      <rPr>
        <sz val="10"/>
        <color rgb="FF17332B"/>
        <rFont val="Arial"/>
        <family val="0"/>
        <charset val="1"/>
      </rPr>
      <t xml:space="preserve">11 </t>
    </r>
    <r>
      <rPr>
        <sz val="10"/>
        <color rgb="FF17332B"/>
        <rFont val="Noto Sans CJK SC"/>
        <family val="2"/>
      </rPr>
      <t xml:space="preserve">年 </t>
    </r>
    <r>
      <rPr>
        <sz val="10"/>
        <color rgb="FF17332B"/>
        <rFont val="Arial"/>
        <family val="0"/>
        <charset val="1"/>
      </rPr>
      <t xml:space="preserve">17 </t>
    </r>
    <r>
      <rPr>
        <sz val="10"/>
        <color rgb="FF17332B"/>
        <rFont val="Noto Sans CJK SC"/>
        <family val="2"/>
      </rPr>
      <t xml:space="preserve">日……滿 </t>
    </r>
    <r>
      <rPr>
        <sz val="10"/>
        <color rgb="FF17332B"/>
        <rFont val="Arial"/>
        <family val="0"/>
        <charset val="1"/>
      </rPr>
      <t xml:space="preserve">24 </t>
    </r>
    <r>
      <rPr>
        <sz val="10"/>
        <color rgb="FF17332B"/>
        <rFont val="Noto Sans CJK SC"/>
        <family val="2"/>
      </rPr>
      <t xml:space="preserve">年以上 </t>
    </r>
    <r>
      <rPr>
        <sz val="10"/>
        <color rgb="FF17332B"/>
        <rFont val="Arial"/>
        <family val="0"/>
        <charset val="1"/>
      </rPr>
      <t xml:space="preserve">30 </t>
    </r>
    <r>
      <rPr>
        <sz val="10"/>
        <color rgb="FF17332B"/>
        <rFont val="Noto Sans CJK SC"/>
        <family val="2"/>
      </rPr>
      <t xml:space="preserve">日</t>
    </r>
  </si>
  <si>
    <r>
      <rPr>
        <sz val="10"/>
        <color rgb="FF4A5F57"/>
        <rFont val="Noto Sans CJK SC"/>
        <family val="2"/>
      </rPr>
      <t xml:space="preserve">・年度終結或契約終止而未休之日數，雇主應發給工資（勞基法第 </t>
    </r>
    <r>
      <rPr>
        <sz val="10"/>
        <color rgb="FF4A5F57"/>
        <rFont val="Arial"/>
        <family val="0"/>
        <charset val="1"/>
      </rPr>
      <t xml:space="preserve">38 </t>
    </r>
    <r>
      <rPr>
        <sz val="10"/>
        <color rgb="FF4A5F57"/>
        <rFont val="Noto Sans CJK SC"/>
        <family val="2"/>
      </rPr>
      <t xml:space="preserve">條第 </t>
    </r>
    <r>
      <rPr>
        <sz val="10"/>
        <color rgb="FF4A5F57"/>
        <rFont val="Arial"/>
        <family val="0"/>
        <charset val="1"/>
      </rPr>
      <t xml:space="preserve">4 </t>
    </r>
    <r>
      <rPr>
        <sz val="10"/>
        <color rgb="FF4A5F57"/>
        <rFont val="Noto Sans CJK SC"/>
        <family val="2"/>
      </rPr>
      <t xml:space="preserve">項）。</t>
    </r>
  </si>
  <si>
    <t xml:space="preserve">・未休日數經勞雇雙方協商，可遞延至次一年度實施；次年度終結或契約終止仍未休者，應發給工資。</t>
  </si>
  <si>
    <r>
      <rPr>
        <sz val="10"/>
        <color rgb="FF4A5F57"/>
        <rFont val="Noto Sans CJK SC"/>
        <family val="2"/>
      </rPr>
      <t xml:space="preserve">・雇主應於勞工符合特休條件之日起 </t>
    </r>
    <r>
      <rPr>
        <sz val="10"/>
        <color rgb="FF4A5F57"/>
        <rFont val="Arial"/>
        <family val="0"/>
        <charset val="1"/>
      </rPr>
      <t xml:space="preserve">30 </t>
    </r>
    <r>
      <rPr>
        <sz val="10"/>
        <color rgb="FF4A5F57"/>
        <rFont val="Noto Sans CJK SC"/>
        <family val="2"/>
      </rPr>
      <t xml:space="preserve">日內告知；特休期日及未休工資數額應記載於工資清冊，並每年定期以書面通知勞工（施行細則第 </t>
    </r>
    <r>
      <rPr>
        <sz val="10"/>
        <color rgb="FF4A5F57"/>
        <rFont val="Arial"/>
        <family val="0"/>
        <charset val="1"/>
      </rPr>
      <t xml:space="preserve">24 </t>
    </r>
    <r>
      <rPr>
        <sz val="10"/>
        <color rgb="FF4A5F57"/>
        <rFont val="Noto Sans CJK SC"/>
        <family val="2"/>
      </rPr>
      <t xml:space="preserve">條）。</t>
    </r>
  </si>
  <si>
    <r>
      <rPr>
        <sz val="10"/>
        <color rgb="FF4A5F57"/>
        <rFont val="Noto Sans CJK SC"/>
        <family val="2"/>
      </rPr>
      <t xml:space="preserve">・資料來源：全國法規資料庫 勞動基準法、勞動基準法施行細則；勞動部特別休假日數試算系統 </t>
    </r>
    <r>
      <rPr>
        <sz val="10"/>
        <color rgb="FF4A5F57"/>
        <rFont val="Arial"/>
        <family val="0"/>
        <charset val="1"/>
      </rPr>
      <t xml:space="preserve">https://calcr2.mol.gov.tw/RestDays</t>
    </r>
  </si>
  <si>
    <r>
      <rPr>
        <b val="true"/>
        <sz val="15"/>
        <color rgb="FFFFFFFF"/>
        <rFont val="Noto Sans CJK SC"/>
        <family val="2"/>
      </rPr>
      <t xml:space="preserve">把時間還給自己，診所的瑣事交給 </t>
    </r>
    <r>
      <rPr>
        <b val="true"/>
        <sz val="15"/>
        <color rgb="FFFFFFFF"/>
        <rFont val="Arial"/>
        <family val="0"/>
        <charset val="1"/>
      </rPr>
      <t xml:space="preserve">Oli</t>
    </r>
    <r>
      <rPr>
        <b val="true"/>
        <sz val="15"/>
        <color rgb="FFFFFFFF"/>
        <rFont val="Noto Sans CJK SC"/>
        <family val="2"/>
      </rPr>
      <t xml:space="preserve">。</t>
    </r>
  </si>
  <si>
    <t xml:space="preserve">項目</t>
  </si>
  <si>
    <t xml:space="preserve">連結</t>
  </si>
  <si>
    <r>
      <rPr>
        <b val="true"/>
        <sz val="10"/>
        <color rgb="FF17332B"/>
        <rFont val="Arial"/>
        <family val="0"/>
        <charset val="1"/>
      </rPr>
      <t xml:space="preserve">Oli </t>
    </r>
    <r>
      <rPr>
        <b val="true"/>
        <sz val="10"/>
        <color rgb="FF17332B"/>
        <rFont val="Noto Sans CJK SC"/>
        <family val="2"/>
      </rPr>
      <t xml:space="preserve">考勤管理系統</t>
    </r>
  </si>
  <si>
    <r>
      <rPr>
        <sz val="10"/>
        <color rgb="FF17332B"/>
        <rFont val="Noto Sans CJK SC"/>
        <family val="2"/>
      </rPr>
      <t xml:space="preserve">排班、手機 </t>
    </r>
    <r>
      <rPr>
        <sz val="10"/>
        <color rgb="FF17332B"/>
        <rFont val="Arial"/>
        <family val="0"/>
        <charset val="1"/>
      </rPr>
      <t xml:space="preserve">QR </t>
    </r>
    <r>
      <rPr>
        <sz val="10"/>
        <color rgb="FF17332B"/>
        <rFont val="Noto Sans CJK SC"/>
        <family val="2"/>
      </rPr>
      <t xml:space="preserve">打卡、請假加班、薪資試算、特休餘額自動計算</t>
    </r>
  </si>
  <si>
    <t xml:space="preserve">https://olimedi.com/attendance.html</t>
  </si>
  <si>
    <r>
      <rPr>
        <b val="true"/>
        <sz val="10"/>
        <color rgb="FF17332B"/>
        <rFont val="Arial"/>
        <family val="0"/>
        <charset val="1"/>
      </rPr>
      <t xml:space="preserve">Oli </t>
    </r>
    <r>
      <rPr>
        <b val="true"/>
        <sz val="10"/>
        <color rgb="FF17332B"/>
        <rFont val="Noto Sans CJK SC"/>
        <family val="2"/>
      </rPr>
      <t xml:space="preserve">庫存管理系統</t>
    </r>
  </si>
  <si>
    <t xml:space="preserve">掃碼入庫、快缺貨快過期提醒、採購建議、植入物批號追溯</t>
  </si>
  <si>
    <t xml:space="preserve">https://olimedi.com/materials.html</t>
  </si>
  <si>
    <t xml:space="preserve">診所管理專欄</t>
  </si>
  <si>
    <t xml:space="preserve">排班、加班費、特休、盤點等實用整理</t>
  </si>
  <si>
    <t xml:space="preserve">https://olimedi.com/blog/</t>
  </si>
  <si>
    <r>
      <rPr>
        <b val="true"/>
        <sz val="10"/>
        <color rgb="FF17332B"/>
        <rFont val="Noto Sans CJK SC"/>
        <family val="2"/>
      </rPr>
      <t xml:space="preserve">問 </t>
    </r>
    <r>
      <rPr>
        <b val="true"/>
        <sz val="10"/>
        <color rgb="FF17332B"/>
        <rFont val="Arial"/>
        <family val="0"/>
        <charset val="1"/>
      </rPr>
      <t xml:space="preserve">Oliver</t>
    </r>
    <r>
      <rPr>
        <b val="true"/>
        <sz val="10"/>
        <color rgb="FF17332B"/>
        <rFont val="Noto Sans CJK SC"/>
        <family val="2"/>
      </rPr>
      <t xml:space="preserve">（</t>
    </r>
    <r>
      <rPr>
        <b val="true"/>
        <sz val="10"/>
        <color rgb="FF17332B"/>
        <rFont val="Arial"/>
        <family val="0"/>
        <charset val="1"/>
      </rPr>
      <t xml:space="preserve">LINE</t>
    </r>
    <r>
      <rPr>
        <b val="true"/>
        <sz val="10"/>
        <color rgb="FF17332B"/>
        <rFont val="Noto Sans CJK SC"/>
        <family val="2"/>
      </rPr>
      <t xml:space="preserve">）</t>
    </r>
  </si>
  <si>
    <r>
      <rPr>
        <sz val="10"/>
        <color rgb="FF17332B"/>
        <rFont val="Noto Sans CJK SC"/>
        <family val="2"/>
      </rPr>
      <t xml:space="preserve">加入 </t>
    </r>
    <r>
      <rPr>
        <sz val="10"/>
        <color rgb="FF17332B"/>
        <rFont val="Arial"/>
        <family val="0"/>
        <charset val="1"/>
      </rPr>
      <t xml:space="preserve">@336appfx</t>
    </r>
    <r>
      <rPr>
        <sz val="10"/>
        <color rgb="FF17332B"/>
        <rFont val="Noto Sans CJK SC"/>
        <family val="2"/>
      </rPr>
      <t xml:space="preserve">，預約約 </t>
    </r>
    <r>
      <rPr>
        <sz val="10"/>
        <color rgb="FF17332B"/>
        <rFont val="Arial"/>
        <family val="0"/>
        <charset val="1"/>
      </rPr>
      <t xml:space="preserve">20 </t>
    </r>
    <r>
      <rPr>
        <sz val="10"/>
        <color rgb="FF17332B"/>
        <rFont val="Noto Sans CJK SC"/>
        <family val="2"/>
      </rPr>
      <t xml:space="preserve">分鐘免費線上展示</t>
    </r>
  </si>
  <si>
    <t xml:space="preserve">https://line.me/R/ti/p/@336appfx</t>
  </si>
  <si>
    <r>
      <rPr>
        <sz val="9"/>
        <color rgb="FF4A5F57"/>
        <rFont val="Arial"/>
        <family val="0"/>
        <charset val="1"/>
      </rPr>
      <t xml:space="preserve">© 2026 Olimedi </t>
    </r>
    <r>
      <rPr>
        <sz val="9"/>
        <color rgb="FF4A5F57"/>
        <rFont val="Noto Sans CJK SC"/>
        <family val="2"/>
      </rPr>
      <t xml:space="preserve">奧里醫療資訊。本範本可免費使用於醫療院所內部管理，請勿轉售。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</si>
</sst>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"/>
    <numFmt numFmtId="167" formatCode="0"/>
    <numFmt numFmtId="168" formatCode="0.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5"/>
      <color rgb="FFFFFFFF"/>
      <name val="Noto Sans CJK SC"/>
      <family val="2"/>
    </font>
    <font>
      <b val="true"/>
      <sz val="13"/>
      <color rgb="FF2E7D5B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sz val="10"/>
      <name val="Noto Sans CJK SC"/>
      <family val="2"/>
    </font>
    <font>
      <i val="true"/>
      <sz val="9"/>
      <color rgb="FF4A5F57"/>
      <name val="Noto Sans CJK SC"/>
      <family val="2"/>
    </font>
    <font>
      <i val="true"/>
      <sz val="9"/>
      <color rgb="FF4A5F57"/>
      <name val="Arial"/>
      <family val="0"/>
      <charset val="1"/>
    </font>
    <font>
      <b val="true"/>
      <u val="single"/>
      <sz val="11"/>
      <color rgb="FF2E7D5B"/>
      <name val="Noto Sans CJK SC"/>
      <family val="2"/>
    </font>
    <font>
      <u val="single"/>
      <sz val="10"/>
      <color rgb="FF2E7D5B"/>
      <name val="Noto Sans CJK SC"/>
      <family val="2"/>
    </font>
    <font>
      <sz val="10"/>
      <color rgb="FF4A5F57"/>
      <name val="Noto Sans CJK SC"/>
      <family val="2"/>
    </font>
    <font>
      <sz val="10"/>
      <color rgb="FF4A5F57"/>
      <name val="Arial"/>
      <family val="0"/>
      <charset val="1"/>
    </font>
    <font>
      <b val="true"/>
      <sz val="10"/>
      <color rgb="FF17332B"/>
      <name val="Noto Sans CJK SC"/>
      <family val="2"/>
    </font>
    <font>
      <sz val="10"/>
      <color rgb="FF17332B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color rgb="FF17332B"/>
      <name val="Noto Sans CJK SC"/>
      <family val="2"/>
    </font>
    <font>
      <b val="true"/>
      <sz val="10"/>
      <color rgb="FF17332B"/>
      <name val="Arial"/>
      <family val="0"/>
      <charset val="1"/>
    </font>
    <font>
      <sz val="9"/>
      <color rgb="FF4A5F57"/>
      <name val="Noto Sans CJK SC"/>
      <family val="2"/>
    </font>
    <font>
      <sz val="9"/>
      <color rgb="FF4A5F57"/>
      <name val="Arial"/>
      <family val="0"/>
      <charset val="1"/>
    </font>
    <font>
      <sz val="10"/>
      <name val="Arial"/>
      <family val="2"/>
    </font>
    <font>
      <u val="single"/>
      <sz val="10"/>
      <color rgb="FF2E7D5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7D5B"/>
        <bgColor rgb="FF4A5F57"/>
      </patternFill>
    </fill>
    <fill>
      <patternFill patternType="solid">
        <fgColor rgb="FFFFF4C2"/>
        <bgColor rgb="FFFCEBD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ED9"/>
      </left>
      <right style="thin">
        <color rgb="FFD5DED9"/>
      </right>
      <top style="thin">
        <color rgb="FFD5DED9"/>
      </top>
      <bottom style="thin">
        <color rgb="FFD5DE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A33B1F"/>
      </font>
      <fill>
        <patternFill>
          <bgColor rgb="FFFCEBD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2"/>
      <rgbColor rgb="FFCCFFFF"/>
      <rgbColor rgb="FF660066"/>
      <rgbColor rgb="FFFF8080"/>
      <rgbColor rgb="FF0066CC"/>
      <rgbColor rgb="FFD5DE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BD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F57"/>
      <rgbColor rgb="FF969696"/>
      <rgbColor rgb="FF003366"/>
      <rgbColor rgb="FF2E7D5B"/>
      <rgbColor rgb="FF003300"/>
      <rgbColor rgb="FF333300"/>
      <rgbColor rgb="FFA33B1F"/>
      <rgbColor rgb="FF993366"/>
      <rgbColor rgb="FF333399"/>
      <rgbColor rgb="FF1733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ine.me/R/ti/p/@336appfx" TargetMode="External"/><Relationship Id="rId2" Type="http://schemas.openxmlformats.org/officeDocument/2006/relationships/hyperlink" Target="https://olimedi.com/blog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olimedi.com/attendance.html" TargetMode="External"/><Relationship Id="rId2" Type="http://schemas.openxmlformats.org/officeDocument/2006/relationships/hyperlink" Target="https://olimedi.com/materials.html" TargetMode="External"/><Relationship Id="rId3" Type="http://schemas.openxmlformats.org/officeDocument/2006/relationships/hyperlink" Target="https://olimedi.com/blog/" TargetMode="External"/><Relationship Id="rId4" Type="http://schemas.openxmlformats.org/officeDocument/2006/relationships/hyperlink" Target="https://line.me/R/ti/p/@336appf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20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6.15" hidden="false" customHeight="false" outlineLevel="0" collapsed="false">
      <c r="A3" s="2" t="s">
        <v>1</v>
      </c>
    </row>
    <row r="4" customFormat="false" ht="33.7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33.75" hidden="false" customHeight="true" outlineLevel="0" collapsed="false">
      <c r="A5" s="3" t="s">
        <v>3</v>
      </c>
      <c r="B5" s="3"/>
      <c r="C5" s="3"/>
      <c r="D5" s="3"/>
      <c r="E5" s="3"/>
      <c r="F5" s="3"/>
    </row>
    <row r="6" customFormat="false" ht="33.75" hidden="false" customHeight="true" outlineLevel="0" collapsed="false">
      <c r="A6" s="3" t="s">
        <v>4</v>
      </c>
      <c r="B6" s="3"/>
      <c r="C6" s="3"/>
      <c r="D6" s="3"/>
      <c r="E6" s="3"/>
      <c r="F6" s="3"/>
    </row>
    <row r="7" customFormat="false" ht="33.75" hidden="false" customHeight="true" outlineLevel="0" collapsed="false">
      <c r="A7" s="3" t="s">
        <v>5</v>
      </c>
      <c r="B7" s="3"/>
      <c r="C7" s="3"/>
      <c r="D7" s="3"/>
      <c r="E7" s="3"/>
      <c r="F7" s="3"/>
    </row>
    <row r="8" customFormat="false" ht="33.75" hidden="false" customHeight="true" outlineLevel="0" collapsed="false">
      <c r="A8" s="3" t="s">
        <v>6</v>
      </c>
      <c r="B8" s="3"/>
      <c r="C8" s="3"/>
      <c r="D8" s="3"/>
      <c r="E8" s="3"/>
      <c r="F8" s="3"/>
    </row>
    <row r="10" customFormat="false" ht="16.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4" t="s">
        <v>8</v>
      </c>
      <c r="B11" s="5" t="s">
        <v>9</v>
      </c>
      <c r="C11" s="5"/>
      <c r="D11" s="5"/>
      <c r="E11" s="5"/>
      <c r="F11" s="5"/>
    </row>
    <row r="12" customFormat="false" ht="15" hidden="false" customHeight="false" outlineLevel="0" collapsed="false">
      <c r="A12" s="6" t="s">
        <v>10</v>
      </c>
      <c r="B12" s="5" t="s">
        <v>11</v>
      </c>
      <c r="C12" s="5"/>
      <c r="D12" s="5"/>
      <c r="E12" s="5"/>
      <c r="F12" s="5"/>
    </row>
    <row r="14" customFormat="false" ht="45.75" hidden="false" customHeight="true" outlineLevel="0" collapsed="false">
      <c r="A14" s="7" t="s">
        <v>12</v>
      </c>
      <c r="B14" s="7"/>
      <c r="C14" s="7"/>
      <c r="D14" s="7"/>
      <c r="E14" s="7"/>
      <c r="F14" s="7"/>
    </row>
    <row r="16" customFormat="false" ht="17.15" hidden="false" customHeight="false" outlineLevel="0" collapsed="false">
      <c r="A16" s="8" t="s">
        <v>13</v>
      </c>
      <c r="B16" s="8"/>
      <c r="C16" s="8"/>
      <c r="D16" s="8"/>
      <c r="E16" s="8"/>
      <c r="F16" s="8"/>
    </row>
    <row r="17" customFormat="false" ht="15" hidden="false" customHeight="false" outlineLevel="0" collapsed="false">
      <c r="A17" s="9" t="s">
        <v>14</v>
      </c>
      <c r="B17" s="9"/>
      <c r="C17" s="9"/>
      <c r="D17" s="9"/>
      <c r="E17" s="9"/>
      <c r="F17" s="9"/>
    </row>
  </sheetData>
  <mergeCells count="11">
    <mergeCell ref="A1:F1"/>
    <mergeCell ref="A4:F4"/>
    <mergeCell ref="A5:F5"/>
    <mergeCell ref="A6:F6"/>
    <mergeCell ref="A7:F7"/>
    <mergeCell ref="A8:F8"/>
    <mergeCell ref="B11:F11"/>
    <mergeCell ref="B12:F12"/>
    <mergeCell ref="A14:F14"/>
    <mergeCell ref="A16:F16"/>
    <mergeCell ref="A17:F17"/>
  </mergeCells>
  <hyperlinks>
    <hyperlink ref="A16" r:id="rId1" display="用 Excel 管得很累？Oli 系統可以自動完成這些計算 → 加 LINE 問 Oliver（@336appfx），預約免費線上展示"/>
    <hyperlink ref="A17" r:id="rId2" display="更多診所管理實用文章：olimedi.com/blo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5" min="4" style="0" width="8"/>
    <col collapsed="false" customWidth="true" hidden="false" outlineLevel="0" max="8" min="6" style="0" width="12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24"/>
  </cols>
  <sheetData>
    <row r="1" customFormat="false" ht="33.75" hidden="false" customHeight="true" outlineLevel="0" collapsed="false">
      <c r="A1" s="10" t="s">
        <v>15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customFormat="false" ht="30" hidden="false" customHeight="true" outlineLevel="0" collapsed="false">
      <c r="A2" s="11" t="s">
        <v>16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customFormat="false" ht="15" hidden="false" customHeight="false" outlineLevel="0" collapsed="false">
      <c r="A4" s="12" t="s">
        <v>17</v>
      </c>
      <c r="B4" s="13" t="n">
        <f aca="true">TODAY()</f>
        <v>46298</v>
      </c>
    </row>
    <row r="6" customFormat="false" ht="43.5" hidden="false" customHeight="true" outlineLevel="0" collapsed="false">
      <c r="A6" s="14" t="s">
        <v>18</v>
      </c>
      <c r="B6" s="14" t="s">
        <v>19</v>
      </c>
      <c r="C6" s="14" t="s">
        <v>20</v>
      </c>
      <c r="D6" s="14" t="s">
        <v>21</v>
      </c>
      <c r="E6" s="14" t="s">
        <v>22</v>
      </c>
      <c r="F6" s="14" t="s">
        <v>23</v>
      </c>
      <c r="G6" s="14" t="s">
        <v>24</v>
      </c>
      <c r="H6" s="14" t="s">
        <v>25</v>
      </c>
      <c r="I6" s="14" t="s">
        <v>26</v>
      </c>
      <c r="J6" s="14" t="s">
        <v>27</v>
      </c>
      <c r="K6" s="14" t="s">
        <v>28</v>
      </c>
      <c r="L6" s="14" t="s">
        <v>29</v>
      </c>
      <c r="M6" s="14" t="s">
        <v>30</v>
      </c>
      <c r="N6" s="14" t="s">
        <v>31</v>
      </c>
    </row>
    <row r="7" customFormat="false" ht="15" hidden="false" customHeight="false" outlineLevel="0" collapsed="false">
      <c r="A7" s="15" t="s">
        <v>32</v>
      </c>
      <c r="B7" s="13" t="n">
        <v>44986</v>
      </c>
      <c r="C7" s="16" t="n">
        <v>36000</v>
      </c>
      <c r="D7" s="17" t="n">
        <f aca="false">IF(B7="","",IF(B7&gt;$B$4,0,DATEDIF(B7,$B$4,"m")))</f>
        <v>43</v>
      </c>
      <c r="E7" s="18" t="n">
        <f aca="false">IF(D7="","",ROUNDDOWN(D7/12,1))</f>
        <v>3.5</v>
      </c>
      <c r="F7" s="19" t="n">
        <f aca="false">IF(D7="","",IF(D7&lt;6,0,IF(D7&lt;12,3,IF(D7&lt;24,7,IF(D7&lt;36,10,IF(D7&lt;60,14,IF(D7&lt;120,15,MIN(30,15+INT(D7/12)-9))))))))</f>
        <v>14</v>
      </c>
      <c r="G7" s="20" t="n">
        <f aca="false">IF(OR(D7="",D7&lt;6),"",IF(D7&lt;12,EDATE(B7,6),EDATE(B7,12*INT(D7/12))))</f>
        <v>46082</v>
      </c>
      <c r="H7" s="20" t="n">
        <f aca="false">IF(G7="","",IF(D7&lt;12,EDATE(B7,12)-1,EDATE(G7,12)-1))</f>
        <v>46446</v>
      </c>
      <c r="I7" s="21"/>
      <c r="J7" s="21" t="n">
        <v>5</v>
      </c>
      <c r="K7" s="22" t="n">
        <f aca="false">IF(F7="","",F7+N(I7)-N(J7))</f>
        <v>9</v>
      </c>
      <c r="L7" s="23" t="n">
        <f aca="false">IF(C7="","",ROUND(C7/30,0))</f>
        <v>1200</v>
      </c>
      <c r="M7" s="23" t="n">
        <f aca="false">IF(OR(K7="",L7=""),"",MAX(K7,0)*L7)</f>
        <v>10800</v>
      </c>
      <c r="N7" s="24" t="str">
        <f aca="false">IF(OR(H7="",K7=""),"",IF(AND(H7-$B$4&lt;=60,K7&gt;0),"年度將結束，請提醒排休",IF(K7&lt;0,"已休超過可休天數","")))</f>
        <v/>
      </c>
    </row>
    <row r="8" customFormat="false" ht="15" hidden="false" customHeight="false" outlineLevel="0" collapsed="false">
      <c r="A8" s="15" t="s">
        <v>33</v>
      </c>
      <c r="B8" s="13" t="n">
        <v>46068</v>
      </c>
      <c r="C8" s="16" t="n">
        <v>32000</v>
      </c>
      <c r="D8" s="17" t="n">
        <f aca="false">IF(B8="","",IF(B8&gt;$B$4,0,DATEDIF(B8,$B$4,"m")))</f>
        <v>7</v>
      </c>
      <c r="E8" s="18" t="n">
        <f aca="false">IF(D8="","",ROUNDDOWN(D8/12,1))</f>
        <v>0.5</v>
      </c>
      <c r="F8" s="19" t="n">
        <f aca="false">IF(D8="","",IF(D8&lt;6,0,IF(D8&lt;12,3,IF(D8&lt;24,7,IF(D8&lt;36,10,IF(D8&lt;60,14,IF(D8&lt;120,15,MIN(30,15+INT(D8/12)-9))))))))</f>
        <v>3</v>
      </c>
      <c r="G8" s="20" t="n">
        <f aca="false">IF(OR(D8="",D8&lt;6),"",IF(D8&lt;12,EDATE(B8,6),EDATE(B8,12*INT(D8/12))))</f>
        <v>46249</v>
      </c>
      <c r="H8" s="20" t="n">
        <f aca="false">IF(G8="","",IF(D8&lt;12,EDATE(B8,12)-1,EDATE(G8,12)-1))</f>
        <v>46432</v>
      </c>
      <c r="I8" s="21"/>
      <c r="J8" s="21"/>
      <c r="K8" s="22" t="n">
        <f aca="false">IF(F8="","",F8+N(I8)-N(J8))</f>
        <v>3</v>
      </c>
      <c r="L8" s="23" t="n">
        <f aca="false">IF(C8="","",ROUND(C8/30,0))</f>
        <v>1067</v>
      </c>
      <c r="M8" s="23" t="n">
        <f aca="false">IF(OR(K8="",L8=""),"",MAX(K8,0)*L8)</f>
        <v>3201</v>
      </c>
      <c r="N8" s="24" t="str">
        <f aca="false">IF(OR(H8="",K8=""),"",IF(AND(H8-$B$4&lt;=60,K8&gt;0),"年度將結束，請提醒排休",IF(K8&lt;0,"已休超過可休天數","")))</f>
        <v/>
      </c>
    </row>
    <row r="9" customFormat="false" ht="15" hidden="false" customHeight="false" outlineLevel="0" collapsed="false">
      <c r="A9" s="15"/>
      <c r="B9" s="13"/>
      <c r="C9" s="16"/>
      <c r="D9" s="17" t="str">
        <f aca="false">IF(B9="","",IF(B9&gt;$B$4,0,DATEDIF(B9,$B$4,"m")))</f>
        <v/>
      </c>
      <c r="E9" s="18" t="str">
        <f aca="false">IF(D9="","",ROUNDDOWN(D9/12,1))</f>
        <v/>
      </c>
      <c r="F9" s="19" t="str">
        <f aca="false">IF(D9="","",IF(D9&lt;6,0,IF(D9&lt;12,3,IF(D9&lt;24,7,IF(D9&lt;36,10,IF(D9&lt;60,14,IF(D9&lt;120,15,MIN(30,15+INT(D9/12)-9))))))))</f>
        <v/>
      </c>
      <c r="G9" s="20" t="str">
        <f aca="false">IF(OR(D9="",D9&lt;6),"",IF(D9&lt;12,EDATE(B9,6),EDATE(B9,12*INT(D9/12))))</f>
        <v/>
      </c>
      <c r="H9" s="20" t="str">
        <f aca="false">IF(G9="","",IF(D9&lt;12,EDATE(B9,12)-1,EDATE(G9,12)-1))</f>
        <v/>
      </c>
      <c r="I9" s="21"/>
      <c r="J9" s="21"/>
      <c r="K9" s="22" t="str">
        <f aca="false">IF(F9="","",F9+N(I9)-N(J9))</f>
        <v/>
      </c>
      <c r="L9" s="23" t="str">
        <f aca="false">IF(C9="","",ROUND(C9/30,0))</f>
        <v/>
      </c>
      <c r="M9" s="23" t="str">
        <f aca="false">IF(OR(K9="",L9=""),"",MAX(K9,0)*L9)</f>
        <v/>
      </c>
      <c r="N9" s="24" t="str">
        <f aca="false">IF(OR(H9="",K9=""),"",IF(AND(H9-$B$4&lt;=60,K9&gt;0),"年度將結束，請提醒排休",IF(K9&lt;0,"已休超過可休天數","")))</f>
        <v/>
      </c>
    </row>
    <row r="10" customFormat="false" ht="15" hidden="false" customHeight="false" outlineLevel="0" collapsed="false">
      <c r="A10" s="15"/>
      <c r="B10" s="13"/>
      <c r="C10" s="16"/>
      <c r="D10" s="17" t="str">
        <f aca="false">IF(B10="","",IF(B10&gt;$B$4,0,DATEDIF(B10,$B$4,"m")))</f>
        <v/>
      </c>
      <c r="E10" s="18" t="str">
        <f aca="false">IF(D10="","",ROUNDDOWN(D10/12,1))</f>
        <v/>
      </c>
      <c r="F10" s="19" t="str">
        <f aca="false">IF(D10="","",IF(D10&lt;6,0,IF(D10&lt;12,3,IF(D10&lt;24,7,IF(D10&lt;36,10,IF(D10&lt;60,14,IF(D10&lt;120,15,MIN(30,15+INT(D10/12)-9))))))))</f>
        <v/>
      </c>
      <c r="G10" s="20" t="str">
        <f aca="false">IF(OR(D10="",D10&lt;6),"",IF(D10&lt;12,EDATE(B10,6),EDATE(B10,12*INT(D10/12))))</f>
        <v/>
      </c>
      <c r="H10" s="20" t="str">
        <f aca="false">IF(G10="","",IF(D10&lt;12,EDATE(B10,12)-1,EDATE(G10,12)-1))</f>
        <v/>
      </c>
      <c r="I10" s="21"/>
      <c r="J10" s="21"/>
      <c r="K10" s="22" t="str">
        <f aca="false">IF(F10="","",F10+N(I10)-N(J10))</f>
        <v/>
      </c>
      <c r="L10" s="23" t="str">
        <f aca="false">IF(C10="","",ROUND(C10/30,0))</f>
        <v/>
      </c>
      <c r="M10" s="23" t="str">
        <f aca="false">IF(OR(K10="",L10=""),"",MAX(K10,0)*L10)</f>
        <v/>
      </c>
      <c r="N10" s="24" t="str">
        <f aca="false">IF(OR(H10="",K10=""),"",IF(AND(H10-$B$4&lt;=60,K10&gt;0),"年度將結束，請提醒排休",IF(K10&lt;0,"已休超過可休天數","")))</f>
        <v/>
      </c>
    </row>
    <row r="11" customFormat="false" ht="15" hidden="false" customHeight="false" outlineLevel="0" collapsed="false">
      <c r="A11" s="15"/>
      <c r="B11" s="13"/>
      <c r="C11" s="16"/>
      <c r="D11" s="17" t="str">
        <f aca="false">IF(B11="","",IF(B11&gt;$B$4,0,DATEDIF(B11,$B$4,"m")))</f>
        <v/>
      </c>
      <c r="E11" s="18" t="str">
        <f aca="false">IF(D11="","",ROUNDDOWN(D11/12,1))</f>
        <v/>
      </c>
      <c r="F11" s="19" t="str">
        <f aca="false">IF(D11="","",IF(D11&lt;6,0,IF(D11&lt;12,3,IF(D11&lt;24,7,IF(D11&lt;36,10,IF(D11&lt;60,14,IF(D11&lt;120,15,MIN(30,15+INT(D11/12)-9))))))))</f>
        <v/>
      </c>
      <c r="G11" s="20" t="str">
        <f aca="false">IF(OR(D11="",D11&lt;6),"",IF(D11&lt;12,EDATE(B11,6),EDATE(B11,12*INT(D11/12))))</f>
        <v/>
      </c>
      <c r="H11" s="20" t="str">
        <f aca="false">IF(G11="","",IF(D11&lt;12,EDATE(B11,12)-1,EDATE(G11,12)-1))</f>
        <v/>
      </c>
      <c r="I11" s="21"/>
      <c r="J11" s="21"/>
      <c r="K11" s="22" t="str">
        <f aca="false">IF(F11="","",F11+N(I11)-N(J11))</f>
        <v/>
      </c>
      <c r="L11" s="23" t="str">
        <f aca="false">IF(C11="","",ROUND(C11/30,0))</f>
        <v/>
      </c>
      <c r="M11" s="23" t="str">
        <f aca="false">IF(OR(K11="",L11=""),"",MAX(K11,0)*L11)</f>
        <v/>
      </c>
      <c r="N11" s="24" t="str">
        <f aca="false">IF(OR(H11="",K11=""),"",IF(AND(H11-$B$4&lt;=60,K11&gt;0),"年度將結束，請提醒排休",IF(K11&lt;0,"已休超過可休天數","")))</f>
        <v/>
      </c>
    </row>
    <row r="12" customFormat="false" ht="15" hidden="false" customHeight="false" outlineLevel="0" collapsed="false">
      <c r="A12" s="15"/>
      <c r="B12" s="13"/>
      <c r="C12" s="16"/>
      <c r="D12" s="17" t="str">
        <f aca="false">IF(B12="","",IF(B12&gt;$B$4,0,DATEDIF(B12,$B$4,"m")))</f>
        <v/>
      </c>
      <c r="E12" s="18" t="str">
        <f aca="false">IF(D12="","",ROUNDDOWN(D12/12,1))</f>
        <v/>
      </c>
      <c r="F12" s="19" t="str">
        <f aca="false">IF(D12="","",IF(D12&lt;6,0,IF(D12&lt;12,3,IF(D12&lt;24,7,IF(D12&lt;36,10,IF(D12&lt;60,14,IF(D12&lt;120,15,MIN(30,15+INT(D12/12)-9))))))))</f>
        <v/>
      </c>
      <c r="G12" s="20" t="str">
        <f aca="false">IF(OR(D12="",D12&lt;6),"",IF(D12&lt;12,EDATE(B12,6),EDATE(B12,12*INT(D12/12))))</f>
        <v/>
      </c>
      <c r="H12" s="20" t="str">
        <f aca="false">IF(G12="","",IF(D12&lt;12,EDATE(B12,12)-1,EDATE(G12,12)-1))</f>
        <v/>
      </c>
      <c r="I12" s="21"/>
      <c r="J12" s="21"/>
      <c r="K12" s="22" t="str">
        <f aca="false">IF(F12="","",F12+N(I12)-N(J12))</f>
        <v/>
      </c>
      <c r="L12" s="23" t="str">
        <f aca="false">IF(C12="","",ROUND(C12/30,0))</f>
        <v/>
      </c>
      <c r="M12" s="23" t="str">
        <f aca="false">IF(OR(K12="",L12=""),"",MAX(K12,0)*L12)</f>
        <v/>
      </c>
      <c r="N12" s="24" t="str">
        <f aca="false">IF(OR(H12="",K12=""),"",IF(AND(H12-$B$4&lt;=60,K12&gt;0),"年度將結束，請提醒排休",IF(K12&lt;0,"已休超過可休天數","")))</f>
        <v/>
      </c>
    </row>
    <row r="13" customFormat="false" ht="15" hidden="false" customHeight="false" outlineLevel="0" collapsed="false">
      <c r="A13" s="15"/>
      <c r="B13" s="13"/>
      <c r="C13" s="16"/>
      <c r="D13" s="17" t="str">
        <f aca="false">IF(B13="","",IF(B13&gt;$B$4,0,DATEDIF(B13,$B$4,"m")))</f>
        <v/>
      </c>
      <c r="E13" s="18" t="str">
        <f aca="false">IF(D13="","",ROUNDDOWN(D13/12,1))</f>
        <v/>
      </c>
      <c r="F13" s="19" t="str">
        <f aca="false">IF(D13="","",IF(D13&lt;6,0,IF(D13&lt;12,3,IF(D13&lt;24,7,IF(D13&lt;36,10,IF(D13&lt;60,14,IF(D13&lt;120,15,MIN(30,15+INT(D13/12)-9))))))))</f>
        <v/>
      </c>
      <c r="G13" s="20" t="str">
        <f aca="false">IF(OR(D13="",D13&lt;6),"",IF(D13&lt;12,EDATE(B13,6),EDATE(B13,12*INT(D13/12))))</f>
        <v/>
      </c>
      <c r="H13" s="20" t="str">
        <f aca="false">IF(G13="","",IF(D13&lt;12,EDATE(B13,12)-1,EDATE(G13,12)-1))</f>
        <v/>
      </c>
      <c r="I13" s="21"/>
      <c r="J13" s="21"/>
      <c r="K13" s="22" t="str">
        <f aca="false">IF(F13="","",F13+N(I13)-N(J13))</f>
        <v/>
      </c>
      <c r="L13" s="23" t="str">
        <f aca="false">IF(C13="","",ROUND(C13/30,0))</f>
        <v/>
      </c>
      <c r="M13" s="23" t="str">
        <f aca="false">IF(OR(K13="",L13=""),"",MAX(K13,0)*L13)</f>
        <v/>
      </c>
      <c r="N13" s="24" t="str">
        <f aca="false">IF(OR(H13="",K13=""),"",IF(AND(H13-$B$4&lt;=60,K13&gt;0),"年度將結束，請提醒排休",IF(K13&lt;0,"已休超過可休天數","")))</f>
        <v/>
      </c>
    </row>
    <row r="14" customFormat="false" ht="15" hidden="false" customHeight="false" outlineLevel="0" collapsed="false">
      <c r="A14" s="15"/>
      <c r="B14" s="13"/>
      <c r="C14" s="16"/>
      <c r="D14" s="17" t="str">
        <f aca="false">IF(B14="","",IF(B14&gt;$B$4,0,DATEDIF(B14,$B$4,"m")))</f>
        <v/>
      </c>
      <c r="E14" s="18" t="str">
        <f aca="false">IF(D14="","",ROUNDDOWN(D14/12,1))</f>
        <v/>
      </c>
      <c r="F14" s="19" t="str">
        <f aca="false">IF(D14="","",IF(D14&lt;6,0,IF(D14&lt;12,3,IF(D14&lt;24,7,IF(D14&lt;36,10,IF(D14&lt;60,14,IF(D14&lt;120,15,MIN(30,15+INT(D14/12)-9))))))))</f>
        <v/>
      </c>
      <c r="G14" s="20" t="str">
        <f aca="false">IF(OR(D14="",D14&lt;6),"",IF(D14&lt;12,EDATE(B14,6),EDATE(B14,12*INT(D14/12))))</f>
        <v/>
      </c>
      <c r="H14" s="20" t="str">
        <f aca="false">IF(G14="","",IF(D14&lt;12,EDATE(B14,12)-1,EDATE(G14,12)-1))</f>
        <v/>
      </c>
      <c r="I14" s="21"/>
      <c r="J14" s="21"/>
      <c r="K14" s="22" t="str">
        <f aca="false">IF(F14="","",F14+N(I14)-N(J14))</f>
        <v/>
      </c>
      <c r="L14" s="23" t="str">
        <f aca="false">IF(C14="","",ROUND(C14/30,0))</f>
        <v/>
      </c>
      <c r="M14" s="23" t="str">
        <f aca="false">IF(OR(K14="",L14=""),"",MAX(K14,0)*L14)</f>
        <v/>
      </c>
      <c r="N14" s="24" t="str">
        <f aca="false">IF(OR(H14="",K14=""),"",IF(AND(H14-$B$4&lt;=60,K14&gt;0),"年度將結束，請提醒排休",IF(K14&lt;0,"已休超過可休天數","")))</f>
        <v/>
      </c>
    </row>
    <row r="15" customFormat="false" ht="15" hidden="false" customHeight="false" outlineLevel="0" collapsed="false">
      <c r="A15" s="15"/>
      <c r="B15" s="13"/>
      <c r="C15" s="16"/>
      <c r="D15" s="17" t="str">
        <f aca="false">IF(B15="","",IF(B15&gt;$B$4,0,DATEDIF(B15,$B$4,"m")))</f>
        <v/>
      </c>
      <c r="E15" s="18" t="str">
        <f aca="false">IF(D15="","",ROUNDDOWN(D15/12,1))</f>
        <v/>
      </c>
      <c r="F15" s="19" t="str">
        <f aca="false">IF(D15="","",IF(D15&lt;6,0,IF(D15&lt;12,3,IF(D15&lt;24,7,IF(D15&lt;36,10,IF(D15&lt;60,14,IF(D15&lt;120,15,MIN(30,15+INT(D15/12)-9))))))))</f>
        <v/>
      </c>
      <c r="G15" s="20" t="str">
        <f aca="false">IF(OR(D15="",D15&lt;6),"",IF(D15&lt;12,EDATE(B15,6),EDATE(B15,12*INT(D15/12))))</f>
        <v/>
      </c>
      <c r="H15" s="20" t="str">
        <f aca="false">IF(G15="","",IF(D15&lt;12,EDATE(B15,12)-1,EDATE(G15,12)-1))</f>
        <v/>
      </c>
      <c r="I15" s="21"/>
      <c r="J15" s="21"/>
      <c r="K15" s="22" t="str">
        <f aca="false">IF(F15="","",F15+N(I15)-N(J15))</f>
        <v/>
      </c>
      <c r="L15" s="23" t="str">
        <f aca="false">IF(C15="","",ROUND(C15/30,0))</f>
        <v/>
      </c>
      <c r="M15" s="23" t="str">
        <f aca="false">IF(OR(K15="",L15=""),"",MAX(K15,0)*L15)</f>
        <v/>
      </c>
      <c r="N15" s="24" t="str">
        <f aca="false">IF(OR(H15="",K15=""),"",IF(AND(H15-$B$4&lt;=60,K15&gt;0),"年度將結束，請提醒排休",IF(K15&lt;0,"已休超過可休天數","")))</f>
        <v/>
      </c>
    </row>
    <row r="16" customFormat="false" ht="15" hidden="false" customHeight="false" outlineLevel="0" collapsed="false">
      <c r="A16" s="15"/>
      <c r="B16" s="13"/>
      <c r="C16" s="16"/>
      <c r="D16" s="17" t="str">
        <f aca="false">IF(B16="","",IF(B16&gt;$B$4,0,DATEDIF(B16,$B$4,"m")))</f>
        <v/>
      </c>
      <c r="E16" s="18" t="str">
        <f aca="false">IF(D16="","",ROUNDDOWN(D16/12,1))</f>
        <v/>
      </c>
      <c r="F16" s="19" t="str">
        <f aca="false">IF(D16="","",IF(D16&lt;6,0,IF(D16&lt;12,3,IF(D16&lt;24,7,IF(D16&lt;36,10,IF(D16&lt;60,14,IF(D16&lt;120,15,MIN(30,15+INT(D16/12)-9))))))))</f>
        <v/>
      </c>
      <c r="G16" s="20" t="str">
        <f aca="false">IF(OR(D16="",D16&lt;6),"",IF(D16&lt;12,EDATE(B16,6),EDATE(B16,12*INT(D16/12))))</f>
        <v/>
      </c>
      <c r="H16" s="20" t="str">
        <f aca="false">IF(G16="","",IF(D16&lt;12,EDATE(B16,12)-1,EDATE(G16,12)-1))</f>
        <v/>
      </c>
      <c r="I16" s="21"/>
      <c r="J16" s="21"/>
      <c r="K16" s="22" t="str">
        <f aca="false">IF(F16="","",F16+N(I16)-N(J16))</f>
        <v/>
      </c>
      <c r="L16" s="23" t="str">
        <f aca="false">IF(C16="","",ROUND(C16/30,0))</f>
        <v/>
      </c>
      <c r="M16" s="23" t="str">
        <f aca="false">IF(OR(K16="",L16=""),"",MAX(K16,0)*L16)</f>
        <v/>
      </c>
      <c r="N16" s="24" t="str">
        <f aca="false">IF(OR(H16="",K16=""),"",IF(AND(H16-$B$4&lt;=60,K16&gt;0),"年度將結束，請提醒排休",IF(K16&lt;0,"已休超過可休天數","")))</f>
        <v/>
      </c>
    </row>
    <row r="17" customFormat="false" ht="15" hidden="false" customHeight="false" outlineLevel="0" collapsed="false">
      <c r="A17" s="15"/>
      <c r="B17" s="13"/>
      <c r="C17" s="16"/>
      <c r="D17" s="17" t="str">
        <f aca="false">IF(B17="","",IF(B17&gt;$B$4,0,DATEDIF(B17,$B$4,"m")))</f>
        <v/>
      </c>
      <c r="E17" s="18" t="str">
        <f aca="false">IF(D17="","",ROUNDDOWN(D17/12,1))</f>
        <v/>
      </c>
      <c r="F17" s="19" t="str">
        <f aca="false">IF(D17="","",IF(D17&lt;6,0,IF(D17&lt;12,3,IF(D17&lt;24,7,IF(D17&lt;36,10,IF(D17&lt;60,14,IF(D17&lt;120,15,MIN(30,15+INT(D17/12)-9))))))))</f>
        <v/>
      </c>
      <c r="G17" s="20" t="str">
        <f aca="false">IF(OR(D17="",D17&lt;6),"",IF(D17&lt;12,EDATE(B17,6),EDATE(B17,12*INT(D17/12))))</f>
        <v/>
      </c>
      <c r="H17" s="20" t="str">
        <f aca="false">IF(G17="","",IF(D17&lt;12,EDATE(B17,12)-1,EDATE(G17,12)-1))</f>
        <v/>
      </c>
      <c r="I17" s="21"/>
      <c r="J17" s="21"/>
      <c r="K17" s="22" t="str">
        <f aca="false">IF(F17="","",F17+N(I17)-N(J17))</f>
        <v/>
      </c>
      <c r="L17" s="23" t="str">
        <f aca="false">IF(C17="","",ROUND(C17/30,0))</f>
        <v/>
      </c>
      <c r="M17" s="23" t="str">
        <f aca="false">IF(OR(K17="",L17=""),"",MAX(K17,0)*L17)</f>
        <v/>
      </c>
      <c r="N17" s="24" t="str">
        <f aca="false">IF(OR(H17="",K17=""),"",IF(AND(H17-$B$4&lt;=60,K17&gt;0),"年度將結束，請提醒排休",IF(K17&lt;0,"已休超過可休天數","")))</f>
        <v/>
      </c>
    </row>
    <row r="18" customFormat="false" ht="15" hidden="false" customHeight="false" outlineLevel="0" collapsed="false">
      <c r="A18" s="15"/>
      <c r="B18" s="13"/>
      <c r="C18" s="16"/>
      <c r="D18" s="17" t="str">
        <f aca="false">IF(B18="","",IF(B18&gt;$B$4,0,DATEDIF(B18,$B$4,"m")))</f>
        <v/>
      </c>
      <c r="E18" s="18" t="str">
        <f aca="false">IF(D18="","",ROUNDDOWN(D18/12,1))</f>
        <v/>
      </c>
      <c r="F18" s="19" t="str">
        <f aca="false">IF(D18="","",IF(D18&lt;6,0,IF(D18&lt;12,3,IF(D18&lt;24,7,IF(D18&lt;36,10,IF(D18&lt;60,14,IF(D18&lt;120,15,MIN(30,15+INT(D18/12)-9))))))))</f>
        <v/>
      </c>
      <c r="G18" s="20" t="str">
        <f aca="false">IF(OR(D18="",D18&lt;6),"",IF(D18&lt;12,EDATE(B18,6),EDATE(B18,12*INT(D18/12))))</f>
        <v/>
      </c>
      <c r="H18" s="20" t="str">
        <f aca="false">IF(G18="","",IF(D18&lt;12,EDATE(B18,12)-1,EDATE(G18,12)-1))</f>
        <v/>
      </c>
      <c r="I18" s="21"/>
      <c r="J18" s="21"/>
      <c r="K18" s="22" t="str">
        <f aca="false">IF(F18="","",F18+N(I18)-N(J18))</f>
        <v/>
      </c>
      <c r="L18" s="23" t="str">
        <f aca="false">IF(C18="","",ROUND(C18/30,0))</f>
        <v/>
      </c>
      <c r="M18" s="23" t="str">
        <f aca="false">IF(OR(K18="",L18=""),"",MAX(K18,0)*L18)</f>
        <v/>
      </c>
      <c r="N18" s="24" t="str">
        <f aca="false">IF(OR(H18="",K18=""),"",IF(AND(H18-$B$4&lt;=60,K18&gt;0),"年度將結束，請提醒排休",IF(K18&lt;0,"已休超過可休天數","")))</f>
        <v/>
      </c>
    </row>
    <row r="19" customFormat="false" ht="15" hidden="false" customHeight="false" outlineLevel="0" collapsed="false">
      <c r="A19" s="15"/>
      <c r="B19" s="13"/>
      <c r="C19" s="16"/>
      <c r="D19" s="17" t="str">
        <f aca="false">IF(B19="","",IF(B19&gt;$B$4,0,DATEDIF(B19,$B$4,"m")))</f>
        <v/>
      </c>
      <c r="E19" s="18" t="str">
        <f aca="false">IF(D19="","",ROUNDDOWN(D19/12,1))</f>
        <v/>
      </c>
      <c r="F19" s="19" t="str">
        <f aca="false">IF(D19="","",IF(D19&lt;6,0,IF(D19&lt;12,3,IF(D19&lt;24,7,IF(D19&lt;36,10,IF(D19&lt;60,14,IF(D19&lt;120,15,MIN(30,15+INT(D19/12)-9))))))))</f>
        <v/>
      </c>
      <c r="G19" s="20" t="str">
        <f aca="false">IF(OR(D19="",D19&lt;6),"",IF(D19&lt;12,EDATE(B19,6),EDATE(B19,12*INT(D19/12))))</f>
        <v/>
      </c>
      <c r="H19" s="20" t="str">
        <f aca="false">IF(G19="","",IF(D19&lt;12,EDATE(B19,12)-1,EDATE(G19,12)-1))</f>
        <v/>
      </c>
      <c r="I19" s="21"/>
      <c r="J19" s="21"/>
      <c r="K19" s="22" t="str">
        <f aca="false">IF(F19="","",F19+N(I19)-N(J19))</f>
        <v/>
      </c>
      <c r="L19" s="23" t="str">
        <f aca="false">IF(C19="","",ROUND(C19/30,0))</f>
        <v/>
      </c>
      <c r="M19" s="23" t="str">
        <f aca="false">IF(OR(K19="",L19=""),"",MAX(K19,0)*L19)</f>
        <v/>
      </c>
      <c r="N19" s="24" t="str">
        <f aca="false">IF(OR(H19="",K19=""),"",IF(AND(H19-$B$4&lt;=60,K19&gt;0),"年度將結束，請提醒排休",IF(K19&lt;0,"已休超過可休天數","")))</f>
        <v/>
      </c>
    </row>
    <row r="20" customFormat="false" ht="15" hidden="false" customHeight="false" outlineLevel="0" collapsed="false">
      <c r="A20" s="15"/>
      <c r="B20" s="13"/>
      <c r="C20" s="16"/>
      <c r="D20" s="17" t="str">
        <f aca="false">IF(B20="","",IF(B20&gt;$B$4,0,DATEDIF(B20,$B$4,"m")))</f>
        <v/>
      </c>
      <c r="E20" s="18" t="str">
        <f aca="false">IF(D20="","",ROUNDDOWN(D20/12,1))</f>
        <v/>
      </c>
      <c r="F20" s="19" t="str">
        <f aca="false">IF(D20="","",IF(D20&lt;6,0,IF(D20&lt;12,3,IF(D20&lt;24,7,IF(D20&lt;36,10,IF(D20&lt;60,14,IF(D20&lt;120,15,MIN(30,15+INT(D20/12)-9))))))))</f>
        <v/>
      </c>
      <c r="G20" s="20" t="str">
        <f aca="false">IF(OR(D20="",D20&lt;6),"",IF(D20&lt;12,EDATE(B20,6),EDATE(B20,12*INT(D20/12))))</f>
        <v/>
      </c>
      <c r="H20" s="20" t="str">
        <f aca="false">IF(G20="","",IF(D20&lt;12,EDATE(B20,12)-1,EDATE(G20,12)-1))</f>
        <v/>
      </c>
      <c r="I20" s="21"/>
      <c r="J20" s="21"/>
      <c r="K20" s="22" t="str">
        <f aca="false">IF(F20="","",F20+N(I20)-N(J20))</f>
        <v/>
      </c>
      <c r="L20" s="23" t="str">
        <f aca="false">IF(C20="","",ROUND(C20/30,0))</f>
        <v/>
      </c>
      <c r="M20" s="23" t="str">
        <f aca="false">IF(OR(K20="",L20=""),"",MAX(K20,0)*L20)</f>
        <v/>
      </c>
      <c r="N20" s="24" t="str">
        <f aca="false">IF(OR(H20="",K20=""),"",IF(AND(H20-$B$4&lt;=60,K20&gt;0),"年度將結束，請提醒排休",IF(K20&lt;0,"已休超過可休天數","")))</f>
        <v/>
      </c>
    </row>
    <row r="21" customFormat="false" ht="15" hidden="false" customHeight="false" outlineLevel="0" collapsed="false">
      <c r="A21" s="15"/>
      <c r="B21" s="13"/>
      <c r="C21" s="16"/>
      <c r="D21" s="17" t="str">
        <f aca="false">IF(B21="","",IF(B21&gt;$B$4,0,DATEDIF(B21,$B$4,"m")))</f>
        <v/>
      </c>
      <c r="E21" s="18" t="str">
        <f aca="false">IF(D21="","",ROUNDDOWN(D21/12,1))</f>
        <v/>
      </c>
      <c r="F21" s="19" t="str">
        <f aca="false">IF(D21="","",IF(D21&lt;6,0,IF(D21&lt;12,3,IF(D21&lt;24,7,IF(D21&lt;36,10,IF(D21&lt;60,14,IF(D21&lt;120,15,MIN(30,15+INT(D21/12)-9))))))))</f>
        <v/>
      </c>
      <c r="G21" s="20" t="str">
        <f aca="false">IF(OR(D21="",D21&lt;6),"",IF(D21&lt;12,EDATE(B21,6),EDATE(B21,12*INT(D21/12))))</f>
        <v/>
      </c>
      <c r="H21" s="20" t="str">
        <f aca="false">IF(G21="","",IF(D21&lt;12,EDATE(B21,12)-1,EDATE(G21,12)-1))</f>
        <v/>
      </c>
      <c r="I21" s="21"/>
      <c r="J21" s="21"/>
      <c r="K21" s="22" t="str">
        <f aca="false">IF(F21="","",F21+N(I21)-N(J21))</f>
        <v/>
      </c>
      <c r="L21" s="23" t="str">
        <f aca="false">IF(C21="","",ROUND(C21/30,0))</f>
        <v/>
      </c>
      <c r="M21" s="23" t="str">
        <f aca="false">IF(OR(K21="",L21=""),"",MAX(K21,0)*L21)</f>
        <v/>
      </c>
      <c r="N21" s="24" t="str">
        <f aca="false">IF(OR(H21="",K21=""),"",IF(AND(H21-$B$4&lt;=60,K21&gt;0),"年度將結束，請提醒排休",IF(K21&lt;0,"已休超過可休天數","")))</f>
        <v/>
      </c>
    </row>
    <row r="22" customFormat="false" ht="15" hidden="false" customHeight="false" outlineLevel="0" collapsed="false">
      <c r="A22" s="15"/>
      <c r="B22" s="13"/>
      <c r="C22" s="16"/>
      <c r="D22" s="17" t="str">
        <f aca="false">IF(B22="","",IF(B22&gt;$B$4,0,DATEDIF(B22,$B$4,"m")))</f>
        <v/>
      </c>
      <c r="E22" s="18" t="str">
        <f aca="false">IF(D22="","",ROUNDDOWN(D22/12,1))</f>
        <v/>
      </c>
      <c r="F22" s="19" t="str">
        <f aca="false">IF(D22="","",IF(D22&lt;6,0,IF(D22&lt;12,3,IF(D22&lt;24,7,IF(D22&lt;36,10,IF(D22&lt;60,14,IF(D22&lt;120,15,MIN(30,15+INT(D22/12)-9))))))))</f>
        <v/>
      </c>
      <c r="G22" s="20" t="str">
        <f aca="false">IF(OR(D22="",D22&lt;6),"",IF(D22&lt;12,EDATE(B22,6),EDATE(B22,12*INT(D22/12))))</f>
        <v/>
      </c>
      <c r="H22" s="20" t="str">
        <f aca="false">IF(G22="","",IF(D22&lt;12,EDATE(B22,12)-1,EDATE(G22,12)-1))</f>
        <v/>
      </c>
      <c r="I22" s="21"/>
      <c r="J22" s="21"/>
      <c r="K22" s="22" t="str">
        <f aca="false">IF(F22="","",F22+N(I22)-N(J22))</f>
        <v/>
      </c>
      <c r="L22" s="23" t="str">
        <f aca="false">IF(C22="","",ROUND(C22/30,0))</f>
        <v/>
      </c>
      <c r="M22" s="23" t="str">
        <f aca="false">IF(OR(K22="",L22=""),"",MAX(K22,0)*L22)</f>
        <v/>
      </c>
      <c r="N22" s="24" t="str">
        <f aca="false">IF(OR(H22="",K22=""),"",IF(AND(H22-$B$4&lt;=60,K22&gt;0),"年度將結束，請提醒排休",IF(K22&lt;0,"已休超過可休天數","")))</f>
        <v/>
      </c>
    </row>
    <row r="23" customFormat="false" ht="15" hidden="false" customHeight="false" outlineLevel="0" collapsed="false">
      <c r="A23" s="15"/>
      <c r="B23" s="13"/>
      <c r="C23" s="16"/>
      <c r="D23" s="17" t="str">
        <f aca="false">IF(B23="","",IF(B23&gt;$B$4,0,DATEDIF(B23,$B$4,"m")))</f>
        <v/>
      </c>
      <c r="E23" s="18" t="str">
        <f aca="false">IF(D23="","",ROUNDDOWN(D23/12,1))</f>
        <v/>
      </c>
      <c r="F23" s="19" t="str">
        <f aca="false">IF(D23="","",IF(D23&lt;6,0,IF(D23&lt;12,3,IF(D23&lt;24,7,IF(D23&lt;36,10,IF(D23&lt;60,14,IF(D23&lt;120,15,MIN(30,15+INT(D23/12)-9))))))))</f>
        <v/>
      </c>
      <c r="G23" s="20" t="str">
        <f aca="false">IF(OR(D23="",D23&lt;6),"",IF(D23&lt;12,EDATE(B23,6),EDATE(B23,12*INT(D23/12))))</f>
        <v/>
      </c>
      <c r="H23" s="20" t="str">
        <f aca="false">IF(G23="","",IF(D23&lt;12,EDATE(B23,12)-1,EDATE(G23,12)-1))</f>
        <v/>
      </c>
      <c r="I23" s="21"/>
      <c r="J23" s="21"/>
      <c r="K23" s="22" t="str">
        <f aca="false">IF(F23="","",F23+N(I23)-N(J23))</f>
        <v/>
      </c>
      <c r="L23" s="23" t="str">
        <f aca="false">IF(C23="","",ROUND(C23/30,0))</f>
        <v/>
      </c>
      <c r="M23" s="23" t="str">
        <f aca="false">IF(OR(K23="",L23=""),"",MAX(K23,0)*L23)</f>
        <v/>
      </c>
      <c r="N23" s="24" t="str">
        <f aca="false">IF(OR(H23="",K23=""),"",IF(AND(H23-$B$4&lt;=60,K23&gt;0),"年度將結束，請提醒排休",IF(K23&lt;0,"已休超過可休天數","")))</f>
        <v/>
      </c>
    </row>
    <row r="24" customFormat="false" ht="15" hidden="false" customHeight="false" outlineLevel="0" collapsed="false">
      <c r="A24" s="15"/>
      <c r="B24" s="13"/>
      <c r="C24" s="16"/>
      <c r="D24" s="17" t="str">
        <f aca="false">IF(B24="","",IF(B24&gt;$B$4,0,DATEDIF(B24,$B$4,"m")))</f>
        <v/>
      </c>
      <c r="E24" s="18" t="str">
        <f aca="false">IF(D24="","",ROUNDDOWN(D24/12,1))</f>
        <v/>
      </c>
      <c r="F24" s="19" t="str">
        <f aca="false">IF(D24="","",IF(D24&lt;6,0,IF(D24&lt;12,3,IF(D24&lt;24,7,IF(D24&lt;36,10,IF(D24&lt;60,14,IF(D24&lt;120,15,MIN(30,15+INT(D24/12)-9))))))))</f>
        <v/>
      </c>
      <c r="G24" s="20" t="str">
        <f aca="false">IF(OR(D24="",D24&lt;6),"",IF(D24&lt;12,EDATE(B24,6),EDATE(B24,12*INT(D24/12))))</f>
        <v/>
      </c>
      <c r="H24" s="20" t="str">
        <f aca="false">IF(G24="","",IF(D24&lt;12,EDATE(B24,12)-1,EDATE(G24,12)-1))</f>
        <v/>
      </c>
      <c r="I24" s="21"/>
      <c r="J24" s="21"/>
      <c r="K24" s="22" t="str">
        <f aca="false">IF(F24="","",F24+N(I24)-N(J24))</f>
        <v/>
      </c>
      <c r="L24" s="23" t="str">
        <f aca="false">IF(C24="","",ROUND(C24/30,0))</f>
        <v/>
      </c>
      <c r="M24" s="23" t="str">
        <f aca="false">IF(OR(K24="",L24=""),"",MAX(K24,0)*L24)</f>
        <v/>
      </c>
      <c r="N24" s="24" t="str">
        <f aca="false">IF(OR(H24="",K24=""),"",IF(AND(H24-$B$4&lt;=60,K24&gt;0),"年度將結束，請提醒排休",IF(K24&lt;0,"已休超過可休天數","")))</f>
        <v/>
      </c>
    </row>
    <row r="25" customFormat="false" ht="15" hidden="false" customHeight="false" outlineLevel="0" collapsed="false">
      <c r="A25" s="15"/>
      <c r="B25" s="13"/>
      <c r="C25" s="16"/>
      <c r="D25" s="17" t="str">
        <f aca="false">IF(B25="","",IF(B25&gt;$B$4,0,DATEDIF(B25,$B$4,"m")))</f>
        <v/>
      </c>
      <c r="E25" s="18" t="str">
        <f aca="false">IF(D25="","",ROUNDDOWN(D25/12,1))</f>
        <v/>
      </c>
      <c r="F25" s="19" t="str">
        <f aca="false">IF(D25="","",IF(D25&lt;6,0,IF(D25&lt;12,3,IF(D25&lt;24,7,IF(D25&lt;36,10,IF(D25&lt;60,14,IF(D25&lt;120,15,MIN(30,15+INT(D25/12)-9))))))))</f>
        <v/>
      </c>
      <c r="G25" s="20" t="str">
        <f aca="false">IF(OR(D25="",D25&lt;6),"",IF(D25&lt;12,EDATE(B25,6),EDATE(B25,12*INT(D25/12))))</f>
        <v/>
      </c>
      <c r="H25" s="20" t="str">
        <f aca="false">IF(G25="","",IF(D25&lt;12,EDATE(B25,12)-1,EDATE(G25,12)-1))</f>
        <v/>
      </c>
      <c r="I25" s="21"/>
      <c r="J25" s="21"/>
      <c r="K25" s="22" t="str">
        <f aca="false">IF(F25="","",F25+N(I25)-N(J25))</f>
        <v/>
      </c>
      <c r="L25" s="23" t="str">
        <f aca="false">IF(C25="","",ROUND(C25/30,0))</f>
        <v/>
      </c>
      <c r="M25" s="23" t="str">
        <f aca="false">IF(OR(K25="",L25=""),"",MAX(K25,0)*L25)</f>
        <v/>
      </c>
      <c r="N25" s="24" t="str">
        <f aca="false">IF(OR(H25="",K25=""),"",IF(AND(H25-$B$4&lt;=60,K25&gt;0),"年度將結束，請提醒排休",IF(K25&lt;0,"已休超過可休天數","")))</f>
        <v/>
      </c>
    </row>
    <row r="26" customFormat="false" ht="15" hidden="false" customHeight="false" outlineLevel="0" collapsed="false">
      <c r="A26" s="15"/>
      <c r="B26" s="13"/>
      <c r="C26" s="16"/>
      <c r="D26" s="17" t="str">
        <f aca="false">IF(B26="","",IF(B26&gt;$B$4,0,DATEDIF(B26,$B$4,"m")))</f>
        <v/>
      </c>
      <c r="E26" s="18" t="str">
        <f aca="false">IF(D26="","",ROUNDDOWN(D26/12,1))</f>
        <v/>
      </c>
      <c r="F26" s="19" t="str">
        <f aca="false">IF(D26="","",IF(D26&lt;6,0,IF(D26&lt;12,3,IF(D26&lt;24,7,IF(D26&lt;36,10,IF(D26&lt;60,14,IF(D26&lt;120,15,MIN(30,15+INT(D26/12)-9))))))))</f>
        <v/>
      </c>
      <c r="G26" s="20" t="str">
        <f aca="false">IF(OR(D26="",D26&lt;6),"",IF(D26&lt;12,EDATE(B26,6),EDATE(B26,12*INT(D26/12))))</f>
        <v/>
      </c>
      <c r="H26" s="20" t="str">
        <f aca="false">IF(G26="","",IF(D26&lt;12,EDATE(B26,12)-1,EDATE(G26,12)-1))</f>
        <v/>
      </c>
      <c r="I26" s="21"/>
      <c r="J26" s="21"/>
      <c r="K26" s="22" t="str">
        <f aca="false">IF(F26="","",F26+N(I26)-N(J26))</f>
        <v/>
      </c>
      <c r="L26" s="23" t="str">
        <f aca="false">IF(C26="","",ROUND(C26/30,0))</f>
        <v/>
      </c>
      <c r="M26" s="23" t="str">
        <f aca="false">IF(OR(K26="",L26=""),"",MAX(K26,0)*L26)</f>
        <v/>
      </c>
      <c r="N26" s="24" t="str">
        <f aca="false">IF(OR(H26="",K26=""),"",IF(AND(H26-$B$4&lt;=60,K26&gt;0),"年度將結束，請提醒排休",IF(K26&lt;0,"已休超過可休天數","")))</f>
        <v/>
      </c>
    </row>
    <row r="27" customFormat="false" ht="15" hidden="false" customHeight="false" outlineLevel="0" collapsed="false">
      <c r="A27" s="15"/>
      <c r="B27" s="13"/>
      <c r="C27" s="16"/>
      <c r="D27" s="17" t="str">
        <f aca="false">IF(B27="","",IF(B27&gt;$B$4,0,DATEDIF(B27,$B$4,"m")))</f>
        <v/>
      </c>
      <c r="E27" s="18" t="str">
        <f aca="false">IF(D27="","",ROUNDDOWN(D27/12,1))</f>
        <v/>
      </c>
      <c r="F27" s="19" t="str">
        <f aca="false">IF(D27="","",IF(D27&lt;6,0,IF(D27&lt;12,3,IF(D27&lt;24,7,IF(D27&lt;36,10,IF(D27&lt;60,14,IF(D27&lt;120,15,MIN(30,15+INT(D27/12)-9))))))))</f>
        <v/>
      </c>
      <c r="G27" s="20" t="str">
        <f aca="false">IF(OR(D27="",D27&lt;6),"",IF(D27&lt;12,EDATE(B27,6),EDATE(B27,12*INT(D27/12))))</f>
        <v/>
      </c>
      <c r="H27" s="20" t="str">
        <f aca="false">IF(G27="","",IF(D27&lt;12,EDATE(B27,12)-1,EDATE(G27,12)-1))</f>
        <v/>
      </c>
      <c r="I27" s="21"/>
      <c r="J27" s="21"/>
      <c r="K27" s="22" t="str">
        <f aca="false">IF(F27="","",F27+N(I27)-N(J27))</f>
        <v/>
      </c>
      <c r="L27" s="23" t="str">
        <f aca="false">IF(C27="","",ROUND(C27/30,0))</f>
        <v/>
      </c>
      <c r="M27" s="23" t="str">
        <f aca="false">IF(OR(K27="",L27=""),"",MAX(K27,0)*L27)</f>
        <v/>
      </c>
      <c r="N27" s="24" t="str">
        <f aca="false">IF(OR(H27="",K27=""),"",IF(AND(H27-$B$4&lt;=60,K27&gt;0),"年度將結束，請提醒排休",IF(K27&lt;0,"已休超過可休天數","")))</f>
        <v/>
      </c>
    </row>
    <row r="28" customFormat="false" ht="15" hidden="false" customHeight="false" outlineLevel="0" collapsed="false">
      <c r="A28" s="15"/>
      <c r="B28" s="13"/>
      <c r="C28" s="16"/>
      <c r="D28" s="17" t="str">
        <f aca="false">IF(B28="","",IF(B28&gt;$B$4,0,DATEDIF(B28,$B$4,"m")))</f>
        <v/>
      </c>
      <c r="E28" s="18" t="str">
        <f aca="false">IF(D28="","",ROUNDDOWN(D28/12,1))</f>
        <v/>
      </c>
      <c r="F28" s="19" t="str">
        <f aca="false">IF(D28="","",IF(D28&lt;6,0,IF(D28&lt;12,3,IF(D28&lt;24,7,IF(D28&lt;36,10,IF(D28&lt;60,14,IF(D28&lt;120,15,MIN(30,15+INT(D28/12)-9))))))))</f>
        <v/>
      </c>
      <c r="G28" s="20" t="str">
        <f aca="false">IF(OR(D28="",D28&lt;6),"",IF(D28&lt;12,EDATE(B28,6),EDATE(B28,12*INT(D28/12))))</f>
        <v/>
      </c>
      <c r="H28" s="20" t="str">
        <f aca="false">IF(G28="","",IF(D28&lt;12,EDATE(B28,12)-1,EDATE(G28,12)-1))</f>
        <v/>
      </c>
      <c r="I28" s="21"/>
      <c r="J28" s="21"/>
      <c r="K28" s="22" t="str">
        <f aca="false">IF(F28="","",F28+N(I28)-N(J28))</f>
        <v/>
      </c>
      <c r="L28" s="23" t="str">
        <f aca="false">IF(C28="","",ROUND(C28/30,0))</f>
        <v/>
      </c>
      <c r="M28" s="23" t="str">
        <f aca="false">IF(OR(K28="",L28=""),"",MAX(K28,0)*L28)</f>
        <v/>
      </c>
      <c r="N28" s="24" t="str">
        <f aca="false">IF(OR(H28="",K28=""),"",IF(AND(H28-$B$4&lt;=60,K28&gt;0),"年度將結束，請提醒排休",IF(K28&lt;0,"已休超過可休天數","")))</f>
        <v/>
      </c>
    </row>
    <row r="29" customFormat="false" ht="15" hidden="false" customHeight="false" outlineLevel="0" collapsed="false">
      <c r="A29" s="15"/>
      <c r="B29" s="13"/>
      <c r="C29" s="16"/>
      <c r="D29" s="17" t="str">
        <f aca="false">IF(B29="","",IF(B29&gt;$B$4,0,DATEDIF(B29,$B$4,"m")))</f>
        <v/>
      </c>
      <c r="E29" s="18" t="str">
        <f aca="false">IF(D29="","",ROUNDDOWN(D29/12,1))</f>
        <v/>
      </c>
      <c r="F29" s="19" t="str">
        <f aca="false">IF(D29="","",IF(D29&lt;6,0,IF(D29&lt;12,3,IF(D29&lt;24,7,IF(D29&lt;36,10,IF(D29&lt;60,14,IF(D29&lt;120,15,MIN(30,15+INT(D29/12)-9))))))))</f>
        <v/>
      </c>
      <c r="G29" s="20" t="str">
        <f aca="false">IF(OR(D29="",D29&lt;6),"",IF(D29&lt;12,EDATE(B29,6),EDATE(B29,12*INT(D29/12))))</f>
        <v/>
      </c>
      <c r="H29" s="20" t="str">
        <f aca="false">IF(G29="","",IF(D29&lt;12,EDATE(B29,12)-1,EDATE(G29,12)-1))</f>
        <v/>
      </c>
      <c r="I29" s="21"/>
      <c r="J29" s="21"/>
      <c r="K29" s="22" t="str">
        <f aca="false">IF(F29="","",F29+N(I29)-N(J29))</f>
        <v/>
      </c>
      <c r="L29" s="23" t="str">
        <f aca="false">IF(C29="","",ROUND(C29/30,0))</f>
        <v/>
      </c>
      <c r="M29" s="23" t="str">
        <f aca="false">IF(OR(K29="",L29=""),"",MAX(K29,0)*L29)</f>
        <v/>
      </c>
      <c r="N29" s="24" t="str">
        <f aca="false">IF(OR(H29="",K29=""),"",IF(AND(H29-$B$4&lt;=60,K29&gt;0),"年度將結束，請提醒排休",IF(K29&lt;0,"已休超過可休天數","")))</f>
        <v/>
      </c>
    </row>
    <row r="30" customFormat="false" ht="15" hidden="false" customHeight="false" outlineLevel="0" collapsed="false">
      <c r="A30" s="15"/>
      <c r="B30" s="13"/>
      <c r="C30" s="16"/>
      <c r="D30" s="17" t="str">
        <f aca="false">IF(B30="","",IF(B30&gt;$B$4,0,DATEDIF(B30,$B$4,"m")))</f>
        <v/>
      </c>
      <c r="E30" s="18" t="str">
        <f aca="false">IF(D30="","",ROUNDDOWN(D30/12,1))</f>
        <v/>
      </c>
      <c r="F30" s="19" t="str">
        <f aca="false">IF(D30="","",IF(D30&lt;6,0,IF(D30&lt;12,3,IF(D30&lt;24,7,IF(D30&lt;36,10,IF(D30&lt;60,14,IF(D30&lt;120,15,MIN(30,15+INT(D30/12)-9))))))))</f>
        <v/>
      </c>
      <c r="G30" s="20" t="str">
        <f aca="false">IF(OR(D30="",D30&lt;6),"",IF(D30&lt;12,EDATE(B30,6),EDATE(B30,12*INT(D30/12))))</f>
        <v/>
      </c>
      <c r="H30" s="20" t="str">
        <f aca="false">IF(G30="","",IF(D30&lt;12,EDATE(B30,12)-1,EDATE(G30,12)-1))</f>
        <v/>
      </c>
      <c r="I30" s="21"/>
      <c r="J30" s="21"/>
      <c r="K30" s="22" t="str">
        <f aca="false">IF(F30="","",F30+N(I30)-N(J30))</f>
        <v/>
      </c>
      <c r="L30" s="23" t="str">
        <f aca="false">IF(C30="","",ROUND(C30/30,0))</f>
        <v/>
      </c>
      <c r="M30" s="23" t="str">
        <f aca="false">IF(OR(K30="",L30=""),"",MAX(K30,0)*L30)</f>
        <v/>
      </c>
      <c r="N30" s="24" t="str">
        <f aca="false">IF(OR(H30="",K30=""),"",IF(AND(H30-$B$4&lt;=60,K30&gt;0),"年度將結束，請提醒排休",IF(K30&lt;0,"已休超過可休天數","")))</f>
        <v/>
      </c>
    </row>
    <row r="31" customFormat="false" ht="15" hidden="false" customHeight="false" outlineLevel="0" collapsed="false">
      <c r="A31" s="15"/>
      <c r="B31" s="13"/>
      <c r="C31" s="16"/>
      <c r="D31" s="17" t="str">
        <f aca="false">IF(B31="","",IF(B31&gt;$B$4,0,DATEDIF(B31,$B$4,"m")))</f>
        <v/>
      </c>
      <c r="E31" s="18" t="str">
        <f aca="false">IF(D31="","",ROUNDDOWN(D31/12,1))</f>
        <v/>
      </c>
      <c r="F31" s="19" t="str">
        <f aca="false">IF(D31="","",IF(D31&lt;6,0,IF(D31&lt;12,3,IF(D31&lt;24,7,IF(D31&lt;36,10,IF(D31&lt;60,14,IF(D31&lt;120,15,MIN(30,15+INT(D31/12)-9))))))))</f>
        <v/>
      </c>
      <c r="G31" s="20" t="str">
        <f aca="false">IF(OR(D31="",D31&lt;6),"",IF(D31&lt;12,EDATE(B31,6),EDATE(B31,12*INT(D31/12))))</f>
        <v/>
      </c>
      <c r="H31" s="20" t="str">
        <f aca="false">IF(G31="","",IF(D31&lt;12,EDATE(B31,12)-1,EDATE(G31,12)-1))</f>
        <v/>
      </c>
      <c r="I31" s="21"/>
      <c r="J31" s="21"/>
      <c r="K31" s="22" t="str">
        <f aca="false">IF(F31="","",F31+N(I31)-N(J31))</f>
        <v/>
      </c>
      <c r="L31" s="23" t="str">
        <f aca="false">IF(C31="","",ROUND(C31/30,0))</f>
        <v/>
      </c>
      <c r="M31" s="23" t="str">
        <f aca="false">IF(OR(K31="",L31=""),"",MAX(K31,0)*L31)</f>
        <v/>
      </c>
      <c r="N31" s="24" t="str">
        <f aca="false">IF(OR(H31="",K31=""),"",IF(AND(H31-$B$4&lt;=60,K31&gt;0),"年度將結束，請提醒排休",IF(K31&lt;0,"已休超過可休天數","")))</f>
        <v/>
      </c>
    </row>
    <row r="32" customFormat="false" ht="15" hidden="false" customHeight="false" outlineLevel="0" collapsed="false">
      <c r="A32" s="15"/>
      <c r="B32" s="13"/>
      <c r="C32" s="16"/>
      <c r="D32" s="17" t="str">
        <f aca="false">IF(B32="","",IF(B32&gt;$B$4,0,DATEDIF(B32,$B$4,"m")))</f>
        <v/>
      </c>
      <c r="E32" s="18" t="str">
        <f aca="false">IF(D32="","",ROUNDDOWN(D32/12,1))</f>
        <v/>
      </c>
      <c r="F32" s="19" t="str">
        <f aca="false">IF(D32="","",IF(D32&lt;6,0,IF(D32&lt;12,3,IF(D32&lt;24,7,IF(D32&lt;36,10,IF(D32&lt;60,14,IF(D32&lt;120,15,MIN(30,15+INT(D32/12)-9))))))))</f>
        <v/>
      </c>
      <c r="G32" s="20" t="str">
        <f aca="false">IF(OR(D32="",D32&lt;6),"",IF(D32&lt;12,EDATE(B32,6),EDATE(B32,12*INT(D32/12))))</f>
        <v/>
      </c>
      <c r="H32" s="20" t="str">
        <f aca="false">IF(G32="","",IF(D32&lt;12,EDATE(B32,12)-1,EDATE(G32,12)-1))</f>
        <v/>
      </c>
      <c r="I32" s="21"/>
      <c r="J32" s="21"/>
      <c r="K32" s="22" t="str">
        <f aca="false">IF(F32="","",F32+N(I32)-N(J32))</f>
        <v/>
      </c>
      <c r="L32" s="23" t="str">
        <f aca="false">IF(C32="","",ROUND(C32/30,0))</f>
        <v/>
      </c>
      <c r="M32" s="23" t="str">
        <f aca="false">IF(OR(K32="",L32=""),"",MAX(K32,0)*L32)</f>
        <v/>
      </c>
      <c r="N32" s="24" t="str">
        <f aca="false">IF(OR(H32="",K32=""),"",IF(AND(H32-$B$4&lt;=60,K32&gt;0),"年度將結束，請提醒排休",IF(K32&lt;0,"已休超過可休天數","")))</f>
        <v/>
      </c>
    </row>
    <row r="33" customFormat="false" ht="15" hidden="false" customHeight="false" outlineLevel="0" collapsed="false">
      <c r="A33" s="15"/>
      <c r="B33" s="13"/>
      <c r="C33" s="16"/>
      <c r="D33" s="17" t="str">
        <f aca="false">IF(B33="","",IF(B33&gt;$B$4,0,DATEDIF(B33,$B$4,"m")))</f>
        <v/>
      </c>
      <c r="E33" s="18" t="str">
        <f aca="false">IF(D33="","",ROUNDDOWN(D33/12,1))</f>
        <v/>
      </c>
      <c r="F33" s="19" t="str">
        <f aca="false">IF(D33="","",IF(D33&lt;6,0,IF(D33&lt;12,3,IF(D33&lt;24,7,IF(D33&lt;36,10,IF(D33&lt;60,14,IF(D33&lt;120,15,MIN(30,15+INT(D33/12)-9))))))))</f>
        <v/>
      </c>
      <c r="G33" s="20" t="str">
        <f aca="false">IF(OR(D33="",D33&lt;6),"",IF(D33&lt;12,EDATE(B33,6),EDATE(B33,12*INT(D33/12))))</f>
        <v/>
      </c>
      <c r="H33" s="20" t="str">
        <f aca="false">IF(G33="","",IF(D33&lt;12,EDATE(B33,12)-1,EDATE(G33,12)-1))</f>
        <v/>
      </c>
      <c r="I33" s="21"/>
      <c r="J33" s="21"/>
      <c r="K33" s="22" t="str">
        <f aca="false">IF(F33="","",F33+N(I33)-N(J33))</f>
        <v/>
      </c>
      <c r="L33" s="23" t="str">
        <f aca="false">IF(C33="","",ROUND(C33/30,0))</f>
        <v/>
      </c>
      <c r="M33" s="23" t="str">
        <f aca="false">IF(OR(K33="",L33=""),"",MAX(K33,0)*L33)</f>
        <v/>
      </c>
      <c r="N33" s="24" t="str">
        <f aca="false">IF(OR(H33="",K33=""),"",IF(AND(H33-$B$4&lt;=60,K33&gt;0),"年度將結束，請提醒排休",IF(K33&lt;0,"已休超過可休天數","")))</f>
        <v/>
      </c>
    </row>
    <row r="34" customFormat="false" ht="15" hidden="false" customHeight="false" outlineLevel="0" collapsed="false">
      <c r="A34" s="15"/>
      <c r="B34" s="13"/>
      <c r="C34" s="16"/>
      <c r="D34" s="17" t="str">
        <f aca="false">IF(B34="","",IF(B34&gt;$B$4,0,DATEDIF(B34,$B$4,"m")))</f>
        <v/>
      </c>
      <c r="E34" s="18" t="str">
        <f aca="false">IF(D34="","",ROUNDDOWN(D34/12,1))</f>
        <v/>
      </c>
      <c r="F34" s="19" t="str">
        <f aca="false">IF(D34="","",IF(D34&lt;6,0,IF(D34&lt;12,3,IF(D34&lt;24,7,IF(D34&lt;36,10,IF(D34&lt;60,14,IF(D34&lt;120,15,MIN(30,15+INT(D34/12)-9))))))))</f>
        <v/>
      </c>
      <c r="G34" s="20" t="str">
        <f aca="false">IF(OR(D34="",D34&lt;6),"",IF(D34&lt;12,EDATE(B34,6),EDATE(B34,12*INT(D34/12))))</f>
        <v/>
      </c>
      <c r="H34" s="20" t="str">
        <f aca="false">IF(G34="","",IF(D34&lt;12,EDATE(B34,12)-1,EDATE(G34,12)-1))</f>
        <v/>
      </c>
      <c r="I34" s="21"/>
      <c r="J34" s="21"/>
      <c r="K34" s="22" t="str">
        <f aca="false">IF(F34="","",F34+N(I34)-N(J34))</f>
        <v/>
      </c>
      <c r="L34" s="23" t="str">
        <f aca="false">IF(C34="","",ROUND(C34/30,0))</f>
        <v/>
      </c>
      <c r="M34" s="23" t="str">
        <f aca="false">IF(OR(K34="",L34=""),"",MAX(K34,0)*L34)</f>
        <v/>
      </c>
      <c r="N34" s="24" t="str">
        <f aca="false">IF(OR(H34="",K34=""),"",IF(AND(H34-$B$4&lt;=60,K34&gt;0),"年度將結束，請提醒排休",IF(K34&lt;0,"已休超過可休天數","")))</f>
        <v/>
      </c>
    </row>
    <row r="35" customFormat="false" ht="15" hidden="false" customHeight="false" outlineLevel="0" collapsed="false">
      <c r="A35" s="15"/>
      <c r="B35" s="13"/>
      <c r="C35" s="16"/>
      <c r="D35" s="17" t="str">
        <f aca="false">IF(B35="","",IF(B35&gt;$B$4,0,DATEDIF(B35,$B$4,"m")))</f>
        <v/>
      </c>
      <c r="E35" s="18" t="str">
        <f aca="false">IF(D35="","",ROUNDDOWN(D35/12,1))</f>
        <v/>
      </c>
      <c r="F35" s="19" t="str">
        <f aca="false">IF(D35="","",IF(D35&lt;6,0,IF(D35&lt;12,3,IF(D35&lt;24,7,IF(D35&lt;36,10,IF(D35&lt;60,14,IF(D35&lt;120,15,MIN(30,15+INT(D35/12)-9))))))))</f>
        <v/>
      </c>
      <c r="G35" s="20" t="str">
        <f aca="false">IF(OR(D35="",D35&lt;6),"",IF(D35&lt;12,EDATE(B35,6),EDATE(B35,12*INT(D35/12))))</f>
        <v/>
      </c>
      <c r="H35" s="20" t="str">
        <f aca="false">IF(G35="","",IF(D35&lt;12,EDATE(B35,12)-1,EDATE(G35,12)-1))</f>
        <v/>
      </c>
      <c r="I35" s="21"/>
      <c r="J35" s="21"/>
      <c r="K35" s="22" t="str">
        <f aca="false">IF(F35="","",F35+N(I35)-N(J35))</f>
        <v/>
      </c>
      <c r="L35" s="23" t="str">
        <f aca="false">IF(C35="","",ROUND(C35/30,0))</f>
        <v/>
      </c>
      <c r="M35" s="23" t="str">
        <f aca="false">IF(OR(K35="",L35=""),"",MAX(K35,0)*L35)</f>
        <v/>
      </c>
      <c r="N35" s="24" t="str">
        <f aca="false">IF(OR(H35="",K35=""),"",IF(AND(H35-$B$4&lt;=60,K35&gt;0),"年度將結束，請提醒排休",IF(K35&lt;0,"已休超過可休天數","")))</f>
        <v/>
      </c>
    </row>
    <row r="36" customFormat="false" ht="15" hidden="false" customHeight="false" outlineLevel="0" collapsed="false">
      <c r="A36" s="15"/>
      <c r="B36" s="13"/>
      <c r="C36" s="16"/>
      <c r="D36" s="17" t="str">
        <f aca="false">IF(B36="","",IF(B36&gt;$B$4,0,DATEDIF(B36,$B$4,"m")))</f>
        <v/>
      </c>
      <c r="E36" s="18" t="str">
        <f aca="false">IF(D36="","",ROUNDDOWN(D36/12,1))</f>
        <v/>
      </c>
      <c r="F36" s="19" t="str">
        <f aca="false">IF(D36="","",IF(D36&lt;6,0,IF(D36&lt;12,3,IF(D36&lt;24,7,IF(D36&lt;36,10,IF(D36&lt;60,14,IF(D36&lt;120,15,MIN(30,15+INT(D36/12)-9))))))))</f>
        <v/>
      </c>
      <c r="G36" s="20" t="str">
        <f aca="false">IF(OR(D36="",D36&lt;6),"",IF(D36&lt;12,EDATE(B36,6),EDATE(B36,12*INT(D36/12))))</f>
        <v/>
      </c>
      <c r="H36" s="20" t="str">
        <f aca="false">IF(G36="","",IF(D36&lt;12,EDATE(B36,12)-1,EDATE(G36,12)-1))</f>
        <v/>
      </c>
      <c r="I36" s="21"/>
      <c r="J36" s="21"/>
      <c r="K36" s="22" t="str">
        <f aca="false">IF(F36="","",F36+N(I36)-N(J36))</f>
        <v/>
      </c>
      <c r="L36" s="23" t="str">
        <f aca="false">IF(C36="","",ROUND(C36/30,0))</f>
        <v/>
      </c>
      <c r="M36" s="23" t="str">
        <f aca="false">IF(OR(K36="",L36=""),"",MAX(K36,0)*L36)</f>
        <v/>
      </c>
      <c r="N36" s="24" t="str">
        <f aca="false">IF(OR(H36="",K36=""),"",IF(AND(H36-$B$4&lt;=60,K36&gt;0),"年度將結束，請提醒排休",IF(K36&lt;0,"已休超過可休天數","")))</f>
        <v/>
      </c>
    </row>
    <row r="38" customFormat="false" ht="15" hidden="false" customHeight="false" outlineLevel="0" collapsed="false">
      <c r="A38" s="25" t="s">
        <v>34</v>
      </c>
    </row>
  </sheetData>
  <mergeCells count="2">
    <mergeCell ref="A1:M1"/>
    <mergeCell ref="A2:M2"/>
  </mergeCells>
  <conditionalFormatting sqref="N7:N36">
    <cfRule type="expression" priority="2" aboveAverage="0" equalAverage="0" bottom="0" percent="0" rank="0" text="" dxfId="0">
      <formula>N7&lt;&gt;""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46"/>
  </cols>
  <sheetData>
    <row r="1" customFormat="false" ht="33.75" hidden="false" customHeight="true" outlineLevel="0" collapsed="false">
      <c r="A1" s="10" t="s">
        <v>35</v>
      </c>
      <c r="B1" s="10"/>
      <c r="C1" s="10"/>
    </row>
    <row r="4" customFormat="false" ht="33.75" hidden="false" customHeight="true" outlineLevel="0" collapsed="false">
      <c r="A4" s="14" t="s">
        <v>36</v>
      </c>
      <c r="B4" s="14" t="s">
        <v>37</v>
      </c>
      <c r="C4" s="14" t="s">
        <v>38</v>
      </c>
    </row>
    <row r="5" customFormat="false" ht="24" hidden="false" customHeight="true" outlineLevel="0" collapsed="false">
      <c r="A5" s="24" t="s">
        <v>39</v>
      </c>
      <c r="B5" s="26" t="s">
        <v>40</v>
      </c>
      <c r="C5" s="24"/>
    </row>
    <row r="6" customFormat="false" ht="24" hidden="false" customHeight="true" outlineLevel="0" collapsed="false">
      <c r="A6" s="24" t="s">
        <v>41</v>
      </c>
      <c r="B6" s="26" t="s">
        <v>42</v>
      </c>
      <c r="C6" s="27" t="s">
        <v>43</v>
      </c>
    </row>
    <row r="7" customFormat="false" ht="24" hidden="false" customHeight="true" outlineLevel="0" collapsed="false">
      <c r="A7" s="24" t="s">
        <v>44</v>
      </c>
      <c r="B7" s="26" t="s">
        <v>45</v>
      </c>
      <c r="C7" s="24"/>
    </row>
    <row r="8" customFormat="false" ht="24" hidden="false" customHeight="true" outlineLevel="0" collapsed="false">
      <c r="A8" s="24" t="s">
        <v>46</v>
      </c>
      <c r="B8" s="12" t="s">
        <v>47</v>
      </c>
      <c r="C8" s="24"/>
    </row>
    <row r="9" customFormat="false" ht="24" hidden="false" customHeight="true" outlineLevel="0" collapsed="false">
      <c r="A9" s="24" t="s">
        <v>48</v>
      </c>
      <c r="B9" s="12" t="s">
        <v>49</v>
      </c>
      <c r="C9" s="24"/>
    </row>
    <row r="10" customFormat="false" ht="24" hidden="false" customHeight="true" outlineLevel="0" collapsed="false">
      <c r="A10" s="24" t="s">
        <v>50</v>
      </c>
      <c r="B10" s="12" t="s">
        <v>51</v>
      </c>
      <c r="C10" s="27" t="s">
        <v>52</v>
      </c>
    </row>
    <row r="13" customFormat="false" ht="31.5" hidden="false" customHeight="true" outlineLevel="0" collapsed="false">
      <c r="A13" s="28" t="s">
        <v>53</v>
      </c>
      <c r="B13" s="28"/>
      <c r="C13" s="28"/>
    </row>
    <row r="14" customFormat="false" ht="31.5" hidden="false" customHeight="true" outlineLevel="0" collapsed="false">
      <c r="A14" s="28" t="s">
        <v>54</v>
      </c>
      <c r="B14" s="28"/>
      <c r="C14" s="28"/>
    </row>
    <row r="15" customFormat="false" ht="31.5" hidden="false" customHeight="true" outlineLevel="0" collapsed="false">
      <c r="A15" s="28" t="s">
        <v>55</v>
      </c>
      <c r="B15" s="28"/>
      <c r="C15" s="28"/>
    </row>
    <row r="16" customFormat="false" ht="31.5" hidden="false" customHeight="true" outlineLevel="0" collapsed="false">
      <c r="A16" s="28" t="s">
        <v>56</v>
      </c>
      <c r="B16" s="28"/>
      <c r="C16" s="28"/>
    </row>
  </sheetData>
  <mergeCells count="5">
    <mergeCell ref="A1:C1"/>
    <mergeCell ref="A13:C13"/>
    <mergeCell ref="A14:C14"/>
    <mergeCell ref="A15:C15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6"/>
    <col collapsed="false" customWidth="true" hidden="false" outlineLevel="0" max="3" min="3" style="0" width="40"/>
  </cols>
  <sheetData>
    <row r="1" customFormat="false" ht="33.75" hidden="false" customHeight="true" outlineLevel="0" collapsed="false">
      <c r="A1" s="10" t="s">
        <v>57</v>
      </c>
      <c r="B1" s="10"/>
      <c r="C1" s="10"/>
      <c r="D1" s="10"/>
    </row>
    <row r="3" customFormat="false" ht="33.75" hidden="false" customHeight="true" outlineLevel="0" collapsed="false">
      <c r="A3" s="14" t="s">
        <v>58</v>
      </c>
      <c r="B3" s="14" t="s">
        <v>38</v>
      </c>
      <c r="C3" s="14" t="s">
        <v>59</v>
      </c>
    </row>
    <row r="4" customFormat="false" ht="30" hidden="false" customHeight="true" outlineLevel="0" collapsed="false">
      <c r="A4" s="29" t="s">
        <v>60</v>
      </c>
      <c r="B4" s="27" t="s">
        <v>61</v>
      </c>
      <c r="C4" s="30" t="s">
        <v>62</v>
      </c>
    </row>
    <row r="5" customFormat="false" ht="30" hidden="false" customHeight="true" outlineLevel="0" collapsed="false">
      <c r="A5" s="29" t="s">
        <v>63</v>
      </c>
      <c r="B5" s="27" t="s">
        <v>64</v>
      </c>
      <c r="C5" s="30" t="s">
        <v>65</v>
      </c>
    </row>
    <row r="6" customFormat="false" ht="30" hidden="false" customHeight="true" outlineLevel="0" collapsed="false">
      <c r="A6" s="31" t="s">
        <v>66</v>
      </c>
      <c r="B6" s="27" t="s">
        <v>67</v>
      </c>
      <c r="C6" s="30" t="s">
        <v>68</v>
      </c>
    </row>
    <row r="7" customFormat="false" ht="30" hidden="false" customHeight="true" outlineLevel="0" collapsed="false">
      <c r="A7" s="31" t="s">
        <v>69</v>
      </c>
      <c r="B7" s="27" t="s">
        <v>70</v>
      </c>
      <c r="C7" s="30" t="s">
        <v>71</v>
      </c>
    </row>
    <row r="9" customFormat="false" ht="15" hidden="false" customHeight="false" outlineLevel="0" collapsed="false">
      <c r="A9" s="32" t="s">
        <v>72</v>
      </c>
    </row>
  </sheetData>
  <mergeCells count="1">
    <mergeCell ref="A1:D1"/>
  </mergeCells>
  <hyperlinks>
    <hyperlink ref="C4" r:id="rId1" display="https://olimedi.com/attendance.html"/>
    <hyperlink ref="C5" r:id="rId2" display="https://olimedi.com/materials.html"/>
    <hyperlink ref="C6" r:id="rId3" display="https://olimedi.com/blog/"/>
    <hyperlink ref="C7" r:id="rId4" display="https://line.me/R/ti/p/@336appf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2026-10-03T14:21:12Z</dcterms:created>
  <dc:creator>openpyxl</dc:creator>
  <dc:description/>
  <dc:language>en-US</dc:language>
  <cp:lastModifiedBy/>
  <dcterms:modified xsi:type="dcterms:W3CDTF">2026-10-03T14:21:12Z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